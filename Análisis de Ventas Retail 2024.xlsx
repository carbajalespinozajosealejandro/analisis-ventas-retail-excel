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carb\OneDrive\Desktop\CARRERA DE 3 AÑOS\CURSO DATA ANALYTICS\EXCEL\"/>
    </mc:Choice>
  </mc:AlternateContent>
  <xr:revisionPtr revIDLastSave="0" documentId="8_{CCFE54C4-7EC2-4D2C-AE30-A7119455862C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Documentación" sheetId="1" r:id="rId1"/>
    <sheet name="Datos" sheetId="2" r:id="rId2"/>
    <sheet name="Análisis" sheetId="3" r:id="rId3"/>
    <sheet name="Dashboar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4" l="1"/>
  <c r="E5" i="4"/>
  <c r="D27" i="3"/>
  <c r="I10" i="4"/>
  <c r="I5" i="4"/>
  <c r="B16" i="4"/>
  <c r="C42" i="3"/>
  <c r="C41" i="3"/>
  <c r="C40" i="3"/>
  <c r="C39" i="3"/>
  <c r="C38" i="3"/>
  <c r="C37" i="3"/>
  <c r="C36" i="3"/>
  <c r="C35" i="3"/>
  <c r="C34" i="3"/>
  <c r="C33" i="3"/>
  <c r="C27" i="3"/>
  <c r="C26" i="3"/>
  <c r="C25" i="3"/>
  <c r="C28" i="3" s="1"/>
  <c r="D19" i="3"/>
  <c r="C19" i="3"/>
  <c r="D18" i="3"/>
  <c r="C18" i="3"/>
  <c r="D17" i="3"/>
  <c r="C17" i="3"/>
  <c r="D16" i="3"/>
  <c r="C16" i="3"/>
  <c r="D15" i="3"/>
  <c r="C15" i="3"/>
  <c r="C9" i="3"/>
  <c r="C8" i="3"/>
  <c r="C7" i="3"/>
  <c r="C6" i="3"/>
  <c r="C5" i="3"/>
  <c r="O501" i="2"/>
  <c r="N501" i="2"/>
  <c r="M501" i="2"/>
  <c r="L501" i="2"/>
  <c r="O500" i="2"/>
  <c r="N500" i="2"/>
  <c r="M500" i="2"/>
  <c r="L500" i="2"/>
  <c r="Q499" i="2"/>
  <c r="O499" i="2"/>
  <c r="L499" i="2"/>
  <c r="M499" i="2" s="1"/>
  <c r="N499" i="2" s="1"/>
  <c r="P499" i="2" s="1"/>
  <c r="O498" i="2"/>
  <c r="M498" i="2"/>
  <c r="L498" i="2"/>
  <c r="N498" i="2" s="1"/>
  <c r="Q497" i="2"/>
  <c r="O497" i="2"/>
  <c r="M497" i="2"/>
  <c r="L497" i="2"/>
  <c r="N497" i="2" s="1"/>
  <c r="P497" i="2" s="1"/>
  <c r="O496" i="2"/>
  <c r="L496" i="2"/>
  <c r="O495" i="2"/>
  <c r="M495" i="2"/>
  <c r="L495" i="2"/>
  <c r="O494" i="2"/>
  <c r="M494" i="2"/>
  <c r="N494" i="2" s="1"/>
  <c r="L494" i="2"/>
  <c r="O493" i="2"/>
  <c r="N493" i="2"/>
  <c r="M493" i="2"/>
  <c r="L493" i="2"/>
  <c r="O492" i="2"/>
  <c r="N492" i="2"/>
  <c r="M492" i="2"/>
  <c r="L492" i="2"/>
  <c r="O491" i="2"/>
  <c r="L491" i="2"/>
  <c r="M491" i="2" s="1"/>
  <c r="N491" i="2" s="1"/>
  <c r="O490" i="2"/>
  <c r="L490" i="2"/>
  <c r="O489" i="2"/>
  <c r="M489" i="2"/>
  <c r="L489" i="2"/>
  <c r="N489" i="2" s="1"/>
  <c r="O488" i="2"/>
  <c r="L488" i="2"/>
  <c r="O487" i="2"/>
  <c r="M487" i="2"/>
  <c r="L487" i="2"/>
  <c r="N487" i="2" s="1"/>
  <c r="O486" i="2"/>
  <c r="M486" i="2"/>
  <c r="N486" i="2" s="1"/>
  <c r="L486" i="2"/>
  <c r="O485" i="2"/>
  <c r="N485" i="2"/>
  <c r="M485" i="2"/>
  <c r="L485" i="2"/>
  <c r="O484" i="2"/>
  <c r="N484" i="2"/>
  <c r="M484" i="2"/>
  <c r="L484" i="2"/>
  <c r="O483" i="2"/>
  <c r="L483" i="2"/>
  <c r="M483" i="2" s="1"/>
  <c r="N483" i="2" s="1"/>
  <c r="O482" i="2"/>
  <c r="L482" i="2"/>
  <c r="O481" i="2"/>
  <c r="M481" i="2"/>
  <c r="L481" i="2"/>
  <c r="N481" i="2" s="1"/>
  <c r="P481" i="2" s="1"/>
  <c r="O480" i="2"/>
  <c r="M480" i="2"/>
  <c r="L480" i="2"/>
  <c r="O479" i="2"/>
  <c r="M479" i="2"/>
  <c r="L479" i="2"/>
  <c r="N479" i="2" s="1"/>
  <c r="O478" i="2"/>
  <c r="M478" i="2"/>
  <c r="N478" i="2" s="1"/>
  <c r="L478" i="2"/>
  <c r="O477" i="2"/>
  <c r="N477" i="2"/>
  <c r="M477" i="2"/>
  <c r="L477" i="2"/>
  <c r="O476" i="2"/>
  <c r="N476" i="2"/>
  <c r="M476" i="2"/>
  <c r="L476" i="2"/>
  <c r="O475" i="2"/>
  <c r="L475" i="2"/>
  <c r="M475" i="2" s="1"/>
  <c r="N475" i="2" s="1"/>
  <c r="O474" i="2"/>
  <c r="L474" i="2"/>
  <c r="O473" i="2"/>
  <c r="M473" i="2"/>
  <c r="L473" i="2"/>
  <c r="O472" i="2"/>
  <c r="L472" i="2"/>
  <c r="O471" i="2"/>
  <c r="M471" i="2"/>
  <c r="L471" i="2"/>
  <c r="O470" i="2"/>
  <c r="M470" i="2"/>
  <c r="N470" i="2" s="1"/>
  <c r="L470" i="2"/>
  <c r="O469" i="2"/>
  <c r="N469" i="2"/>
  <c r="M469" i="2"/>
  <c r="L469" i="2"/>
  <c r="O468" i="2"/>
  <c r="N468" i="2"/>
  <c r="M468" i="2"/>
  <c r="L468" i="2"/>
  <c r="O467" i="2"/>
  <c r="P467" i="2" s="1"/>
  <c r="L467" i="2"/>
  <c r="M467" i="2" s="1"/>
  <c r="N467" i="2" s="1"/>
  <c r="O466" i="2"/>
  <c r="L466" i="2"/>
  <c r="O465" i="2"/>
  <c r="L465" i="2"/>
  <c r="O464" i="2"/>
  <c r="L464" i="2"/>
  <c r="O463" i="2"/>
  <c r="M463" i="2"/>
  <c r="L463" i="2"/>
  <c r="N463" i="2" s="1"/>
  <c r="O462" i="2"/>
  <c r="L462" i="2"/>
  <c r="O461" i="2"/>
  <c r="N461" i="2"/>
  <c r="M461" i="2"/>
  <c r="L461" i="2"/>
  <c r="O460" i="2"/>
  <c r="N460" i="2"/>
  <c r="M460" i="2"/>
  <c r="L460" i="2"/>
  <c r="O459" i="2"/>
  <c r="N459" i="2"/>
  <c r="P459" i="2" s="1"/>
  <c r="L459" i="2"/>
  <c r="M459" i="2" s="1"/>
  <c r="O458" i="2"/>
  <c r="L458" i="2"/>
  <c r="O457" i="2"/>
  <c r="M457" i="2"/>
  <c r="L457" i="2"/>
  <c r="O456" i="2"/>
  <c r="L456" i="2"/>
  <c r="O455" i="2"/>
  <c r="M455" i="2"/>
  <c r="L455" i="2"/>
  <c r="O454" i="2"/>
  <c r="L454" i="2"/>
  <c r="O453" i="2"/>
  <c r="N453" i="2"/>
  <c r="M453" i="2"/>
  <c r="L453" i="2"/>
  <c r="O452" i="2"/>
  <c r="N452" i="2"/>
  <c r="M452" i="2"/>
  <c r="L452" i="2"/>
  <c r="Q451" i="2"/>
  <c r="P451" i="2"/>
  <c r="O451" i="2"/>
  <c r="N451" i="2"/>
  <c r="L451" i="2"/>
  <c r="M451" i="2" s="1"/>
  <c r="O450" i="2"/>
  <c r="L450" i="2"/>
  <c r="O449" i="2"/>
  <c r="L449" i="2"/>
  <c r="O448" i="2"/>
  <c r="M448" i="2"/>
  <c r="L448" i="2"/>
  <c r="O447" i="2"/>
  <c r="M447" i="2"/>
  <c r="L447" i="2"/>
  <c r="O446" i="2"/>
  <c r="M446" i="2"/>
  <c r="N446" i="2" s="1"/>
  <c r="L446" i="2"/>
  <c r="O445" i="2"/>
  <c r="N445" i="2"/>
  <c r="M445" i="2"/>
  <c r="L445" i="2"/>
  <c r="O444" i="2"/>
  <c r="N444" i="2"/>
  <c r="M444" i="2"/>
  <c r="L444" i="2"/>
  <c r="O443" i="2"/>
  <c r="L443" i="2"/>
  <c r="M443" i="2" s="1"/>
  <c r="N443" i="2" s="1"/>
  <c r="O442" i="2"/>
  <c r="L442" i="2"/>
  <c r="O441" i="2"/>
  <c r="L441" i="2"/>
  <c r="O440" i="2"/>
  <c r="L440" i="2"/>
  <c r="O439" i="2"/>
  <c r="M439" i="2"/>
  <c r="L439" i="2"/>
  <c r="N439" i="2" s="1"/>
  <c r="O438" i="2"/>
  <c r="L438" i="2"/>
  <c r="M438" i="2" s="1"/>
  <c r="O437" i="2"/>
  <c r="N437" i="2"/>
  <c r="M437" i="2"/>
  <c r="L437" i="2"/>
  <c r="O436" i="2"/>
  <c r="N436" i="2"/>
  <c r="M436" i="2"/>
  <c r="L436" i="2"/>
  <c r="O435" i="2"/>
  <c r="L435" i="2"/>
  <c r="M435" i="2" s="1"/>
  <c r="N435" i="2" s="1"/>
  <c r="P435" i="2" s="1"/>
  <c r="O434" i="2"/>
  <c r="L434" i="2"/>
  <c r="O433" i="2"/>
  <c r="M433" i="2"/>
  <c r="L433" i="2"/>
  <c r="O432" i="2"/>
  <c r="M432" i="2"/>
  <c r="L432" i="2"/>
  <c r="O431" i="2"/>
  <c r="M431" i="2"/>
  <c r="L431" i="2"/>
  <c r="N431" i="2" s="1"/>
  <c r="O430" i="2"/>
  <c r="L430" i="2"/>
  <c r="M430" i="2" s="1"/>
  <c r="O429" i="2"/>
  <c r="N429" i="2"/>
  <c r="M429" i="2"/>
  <c r="L429" i="2"/>
  <c r="O428" i="2"/>
  <c r="N428" i="2"/>
  <c r="M428" i="2"/>
  <c r="L428" i="2"/>
  <c r="O427" i="2"/>
  <c r="N427" i="2"/>
  <c r="L427" i="2"/>
  <c r="M427" i="2" s="1"/>
  <c r="O426" i="2"/>
  <c r="L426" i="2"/>
  <c r="O425" i="2"/>
  <c r="L425" i="2"/>
  <c r="O424" i="2"/>
  <c r="M424" i="2"/>
  <c r="L424" i="2"/>
  <c r="O423" i="2"/>
  <c r="M423" i="2"/>
  <c r="L423" i="2"/>
  <c r="N423" i="2" s="1"/>
  <c r="O422" i="2"/>
  <c r="N422" i="2"/>
  <c r="M422" i="2"/>
  <c r="L422" i="2"/>
  <c r="O421" i="2"/>
  <c r="N421" i="2"/>
  <c r="M421" i="2"/>
  <c r="L421" i="2"/>
  <c r="O420" i="2"/>
  <c r="N420" i="2"/>
  <c r="M420" i="2"/>
  <c r="L420" i="2"/>
  <c r="O419" i="2"/>
  <c r="N419" i="2"/>
  <c r="L419" i="2"/>
  <c r="M419" i="2" s="1"/>
  <c r="O418" i="2"/>
  <c r="L418" i="2"/>
  <c r="O417" i="2"/>
  <c r="L417" i="2"/>
  <c r="M417" i="2" s="1"/>
  <c r="O416" i="2"/>
  <c r="L416" i="2"/>
  <c r="O415" i="2"/>
  <c r="M415" i="2"/>
  <c r="L415" i="2"/>
  <c r="O414" i="2"/>
  <c r="L414" i="2"/>
  <c r="M414" i="2" s="1"/>
  <c r="N414" i="2" s="1"/>
  <c r="O413" i="2"/>
  <c r="N413" i="2"/>
  <c r="M413" i="2"/>
  <c r="L413" i="2"/>
  <c r="O412" i="2"/>
  <c r="N412" i="2"/>
  <c r="M412" i="2"/>
  <c r="L412" i="2"/>
  <c r="P411" i="2"/>
  <c r="O411" i="2"/>
  <c r="L411" i="2"/>
  <c r="M411" i="2" s="1"/>
  <c r="N411" i="2" s="1"/>
  <c r="O410" i="2"/>
  <c r="L410" i="2"/>
  <c r="O409" i="2"/>
  <c r="L409" i="2"/>
  <c r="O408" i="2"/>
  <c r="L408" i="2"/>
  <c r="O407" i="2"/>
  <c r="M407" i="2"/>
  <c r="L407" i="2"/>
  <c r="N407" i="2" s="1"/>
  <c r="O406" i="2"/>
  <c r="L406" i="2"/>
  <c r="O405" i="2"/>
  <c r="N405" i="2"/>
  <c r="M405" i="2"/>
  <c r="L405" i="2"/>
  <c r="O404" i="2"/>
  <c r="N404" i="2"/>
  <c r="M404" i="2"/>
  <c r="L404" i="2"/>
  <c r="O403" i="2"/>
  <c r="L403" i="2"/>
  <c r="M403" i="2" s="1"/>
  <c r="N403" i="2" s="1"/>
  <c r="O402" i="2"/>
  <c r="L402" i="2"/>
  <c r="O401" i="2"/>
  <c r="L401" i="2"/>
  <c r="O400" i="2"/>
  <c r="M400" i="2"/>
  <c r="L400" i="2"/>
  <c r="O399" i="2"/>
  <c r="M399" i="2"/>
  <c r="L399" i="2"/>
  <c r="O398" i="2"/>
  <c r="M398" i="2"/>
  <c r="L398" i="2"/>
  <c r="N398" i="2" s="1"/>
  <c r="O397" i="2"/>
  <c r="N397" i="2"/>
  <c r="M397" i="2"/>
  <c r="L397" i="2"/>
  <c r="O396" i="2"/>
  <c r="N396" i="2"/>
  <c r="M396" i="2"/>
  <c r="L396" i="2"/>
  <c r="O395" i="2"/>
  <c r="N395" i="2"/>
  <c r="P395" i="2" s="1"/>
  <c r="L395" i="2"/>
  <c r="M395" i="2" s="1"/>
  <c r="O394" i="2"/>
  <c r="L394" i="2"/>
  <c r="O393" i="2"/>
  <c r="M393" i="2"/>
  <c r="L393" i="2"/>
  <c r="O392" i="2"/>
  <c r="M392" i="2"/>
  <c r="L392" i="2"/>
  <c r="O391" i="2"/>
  <c r="M391" i="2"/>
  <c r="L391" i="2"/>
  <c r="O390" i="2"/>
  <c r="L390" i="2"/>
  <c r="O389" i="2"/>
  <c r="N389" i="2"/>
  <c r="M389" i="2"/>
  <c r="L389" i="2"/>
  <c r="O388" i="2"/>
  <c r="N388" i="2"/>
  <c r="M388" i="2"/>
  <c r="L388" i="2"/>
  <c r="O387" i="2"/>
  <c r="P387" i="2" s="1"/>
  <c r="L387" i="2"/>
  <c r="M387" i="2" s="1"/>
  <c r="N387" i="2" s="1"/>
  <c r="O386" i="2"/>
  <c r="L386" i="2"/>
  <c r="O385" i="2"/>
  <c r="M385" i="2"/>
  <c r="L385" i="2"/>
  <c r="O384" i="2"/>
  <c r="L384" i="2"/>
  <c r="O383" i="2"/>
  <c r="M383" i="2"/>
  <c r="L383" i="2"/>
  <c r="O382" i="2"/>
  <c r="L382" i="2"/>
  <c r="O381" i="2"/>
  <c r="N381" i="2"/>
  <c r="M381" i="2"/>
  <c r="L381" i="2"/>
  <c r="O380" i="2"/>
  <c r="N380" i="2"/>
  <c r="M380" i="2"/>
  <c r="L380" i="2"/>
  <c r="O379" i="2"/>
  <c r="L379" i="2"/>
  <c r="M379" i="2" s="1"/>
  <c r="N379" i="2" s="1"/>
  <c r="O378" i="2"/>
  <c r="L378" i="2"/>
  <c r="O377" i="2"/>
  <c r="L377" i="2"/>
  <c r="O376" i="2"/>
  <c r="L376" i="2"/>
  <c r="O375" i="2"/>
  <c r="M375" i="2"/>
  <c r="L375" i="2"/>
  <c r="N375" i="2" s="1"/>
  <c r="O374" i="2"/>
  <c r="L374" i="2"/>
  <c r="M374" i="2" s="1"/>
  <c r="O373" i="2"/>
  <c r="N373" i="2"/>
  <c r="M373" i="2"/>
  <c r="L373" i="2"/>
  <c r="O372" i="2"/>
  <c r="N372" i="2"/>
  <c r="M372" i="2"/>
  <c r="L372" i="2"/>
  <c r="Q371" i="2"/>
  <c r="O371" i="2"/>
  <c r="N371" i="2"/>
  <c r="P371" i="2" s="1"/>
  <c r="L371" i="2"/>
  <c r="M371" i="2" s="1"/>
  <c r="O370" i="2"/>
  <c r="L370" i="2"/>
  <c r="O369" i="2"/>
  <c r="L369" i="2"/>
  <c r="O368" i="2"/>
  <c r="M368" i="2"/>
  <c r="L368" i="2"/>
  <c r="O367" i="2"/>
  <c r="M367" i="2"/>
  <c r="L367" i="2"/>
  <c r="O366" i="2"/>
  <c r="L366" i="2"/>
  <c r="O365" i="2"/>
  <c r="N365" i="2"/>
  <c r="M365" i="2"/>
  <c r="L365" i="2"/>
  <c r="O364" i="2"/>
  <c r="N364" i="2"/>
  <c r="M364" i="2"/>
  <c r="L364" i="2"/>
  <c r="O363" i="2"/>
  <c r="L363" i="2"/>
  <c r="M363" i="2" s="1"/>
  <c r="N363" i="2" s="1"/>
  <c r="O362" i="2"/>
  <c r="L362" i="2"/>
  <c r="O361" i="2"/>
  <c r="L361" i="2"/>
  <c r="O360" i="2"/>
  <c r="M360" i="2"/>
  <c r="L360" i="2"/>
  <c r="O359" i="2"/>
  <c r="M359" i="2"/>
  <c r="L359" i="2"/>
  <c r="N359" i="2" s="1"/>
  <c r="O358" i="2"/>
  <c r="N358" i="2"/>
  <c r="M358" i="2"/>
  <c r="L358" i="2"/>
  <c r="O357" i="2"/>
  <c r="N357" i="2"/>
  <c r="M357" i="2"/>
  <c r="L357" i="2"/>
  <c r="O356" i="2"/>
  <c r="N356" i="2"/>
  <c r="M356" i="2"/>
  <c r="L356" i="2"/>
  <c r="O355" i="2"/>
  <c r="L355" i="2"/>
  <c r="M355" i="2" s="1"/>
  <c r="N355" i="2" s="1"/>
  <c r="O354" i="2"/>
  <c r="L354" i="2"/>
  <c r="O353" i="2"/>
  <c r="M353" i="2"/>
  <c r="L353" i="2"/>
  <c r="O352" i="2"/>
  <c r="L352" i="2"/>
  <c r="M352" i="2" s="1"/>
  <c r="O351" i="2"/>
  <c r="M351" i="2"/>
  <c r="L351" i="2"/>
  <c r="N351" i="2" s="1"/>
  <c r="O350" i="2"/>
  <c r="N350" i="2"/>
  <c r="M350" i="2"/>
  <c r="L350" i="2"/>
  <c r="O349" i="2"/>
  <c r="N349" i="2"/>
  <c r="M349" i="2"/>
  <c r="L349" i="2"/>
  <c r="O348" i="2"/>
  <c r="N348" i="2"/>
  <c r="M348" i="2"/>
  <c r="L348" i="2"/>
  <c r="O347" i="2"/>
  <c r="L347" i="2"/>
  <c r="M347" i="2" s="1"/>
  <c r="N347" i="2" s="1"/>
  <c r="O346" i="2"/>
  <c r="L346" i="2"/>
  <c r="O345" i="2"/>
  <c r="L345" i="2"/>
  <c r="O344" i="2"/>
  <c r="M344" i="2"/>
  <c r="L344" i="2"/>
  <c r="O343" i="2"/>
  <c r="M343" i="2"/>
  <c r="L343" i="2"/>
  <c r="N343" i="2" s="1"/>
  <c r="O342" i="2"/>
  <c r="L342" i="2"/>
  <c r="M342" i="2" s="1"/>
  <c r="N342" i="2" s="1"/>
  <c r="O341" i="2"/>
  <c r="N341" i="2"/>
  <c r="M341" i="2"/>
  <c r="L341" i="2"/>
  <c r="O340" i="2"/>
  <c r="N340" i="2"/>
  <c r="M340" i="2"/>
  <c r="L340" i="2"/>
  <c r="O339" i="2"/>
  <c r="P339" i="2" s="1"/>
  <c r="N339" i="2"/>
  <c r="L339" i="2"/>
  <c r="M339" i="2" s="1"/>
  <c r="O338" i="2"/>
  <c r="L338" i="2"/>
  <c r="O337" i="2"/>
  <c r="L337" i="2"/>
  <c r="M337" i="2" s="1"/>
  <c r="O336" i="2"/>
  <c r="L336" i="2"/>
  <c r="O335" i="2"/>
  <c r="M335" i="2"/>
  <c r="L335" i="2"/>
  <c r="O334" i="2"/>
  <c r="L334" i="2"/>
  <c r="O333" i="2"/>
  <c r="N333" i="2"/>
  <c r="M333" i="2"/>
  <c r="L333" i="2"/>
  <c r="O332" i="2"/>
  <c r="N332" i="2"/>
  <c r="M332" i="2"/>
  <c r="L332" i="2"/>
  <c r="O331" i="2"/>
  <c r="N331" i="2"/>
  <c r="P331" i="2" s="1"/>
  <c r="Q331" i="2" s="1"/>
  <c r="L331" i="2"/>
  <c r="M331" i="2" s="1"/>
  <c r="O330" i="2"/>
  <c r="L330" i="2"/>
  <c r="O329" i="2"/>
  <c r="M329" i="2"/>
  <c r="L329" i="2"/>
  <c r="O328" i="2"/>
  <c r="L328" i="2"/>
  <c r="O327" i="2"/>
  <c r="M327" i="2"/>
  <c r="L327" i="2"/>
  <c r="O326" i="2"/>
  <c r="L326" i="2"/>
  <c r="O325" i="2"/>
  <c r="N325" i="2"/>
  <c r="M325" i="2"/>
  <c r="L325" i="2"/>
  <c r="O324" i="2"/>
  <c r="N324" i="2"/>
  <c r="M324" i="2"/>
  <c r="L324" i="2"/>
  <c r="O323" i="2"/>
  <c r="P323" i="2" s="1"/>
  <c r="Q323" i="2" s="1"/>
  <c r="N323" i="2"/>
  <c r="L323" i="2"/>
  <c r="M323" i="2" s="1"/>
  <c r="O322" i="2"/>
  <c r="L322" i="2"/>
  <c r="Q321" i="2"/>
  <c r="O321" i="2"/>
  <c r="M321" i="2"/>
  <c r="L321" i="2"/>
  <c r="N321" i="2" s="1"/>
  <c r="P321" i="2" s="1"/>
  <c r="O320" i="2"/>
  <c r="M320" i="2"/>
  <c r="L320" i="2"/>
  <c r="O319" i="2"/>
  <c r="M319" i="2"/>
  <c r="L319" i="2"/>
  <c r="O318" i="2"/>
  <c r="M318" i="2"/>
  <c r="N318" i="2" s="1"/>
  <c r="L318" i="2"/>
  <c r="O317" i="2"/>
  <c r="N317" i="2"/>
  <c r="M317" i="2"/>
  <c r="L317" i="2"/>
  <c r="O316" i="2"/>
  <c r="N316" i="2"/>
  <c r="M316" i="2"/>
  <c r="L316" i="2"/>
  <c r="O315" i="2"/>
  <c r="L315" i="2"/>
  <c r="M315" i="2" s="1"/>
  <c r="N315" i="2" s="1"/>
  <c r="O314" i="2"/>
  <c r="L314" i="2"/>
  <c r="O313" i="2"/>
  <c r="L313" i="2"/>
  <c r="O312" i="2"/>
  <c r="L312" i="2"/>
  <c r="O311" i="2"/>
  <c r="M311" i="2"/>
  <c r="L311" i="2"/>
  <c r="N311" i="2" s="1"/>
  <c r="O310" i="2"/>
  <c r="L310" i="2"/>
  <c r="M310" i="2" s="1"/>
  <c r="O309" i="2"/>
  <c r="N309" i="2"/>
  <c r="M309" i="2"/>
  <c r="L309" i="2"/>
  <c r="O308" i="2"/>
  <c r="N308" i="2"/>
  <c r="M308" i="2"/>
  <c r="L308" i="2"/>
  <c r="O307" i="2"/>
  <c r="L307" i="2"/>
  <c r="M307" i="2" s="1"/>
  <c r="N307" i="2" s="1"/>
  <c r="P307" i="2" s="1"/>
  <c r="O306" i="2"/>
  <c r="L306" i="2"/>
  <c r="O305" i="2"/>
  <c r="M305" i="2"/>
  <c r="L305" i="2"/>
  <c r="O304" i="2"/>
  <c r="M304" i="2"/>
  <c r="L304" i="2"/>
  <c r="O303" i="2"/>
  <c r="M303" i="2"/>
  <c r="L303" i="2"/>
  <c r="N303" i="2" s="1"/>
  <c r="O302" i="2"/>
  <c r="M302" i="2"/>
  <c r="L302" i="2"/>
  <c r="O301" i="2"/>
  <c r="N301" i="2"/>
  <c r="M301" i="2"/>
  <c r="L301" i="2"/>
  <c r="O300" i="2"/>
  <c r="N300" i="2"/>
  <c r="M300" i="2"/>
  <c r="L300" i="2"/>
  <c r="O299" i="2"/>
  <c r="L299" i="2"/>
  <c r="M299" i="2" s="1"/>
  <c r="N299" i="2" s="1"/>
  <c r="O298" i="2"/>
  <c r="L298" i="2"/>
  <c r="O297" i="2"/>
  <c r="L297" i="2"/>
  <c r="O296" i="2"/>
  <c r="M296" i="2"/>
  <c r="L296" i="2"/>
  <c r="O295" i="2"/>
  <c r="M295" i="2"/>
  <c r="L295" i="2"/>
  <c r="O294" i="2"/>
  <c r="M294" i="2"/>
  <c r="N294" i="2" s="1"/>
  <c r="L294" i="2"/>
  <c r="O293" i="2"/>
  <c r="N293" i="2"/>
  <c r="M293" i="2"/>
  <c r="L293" i="2"/>
  <c r="O292" i="2"/>
  <c r="N292" i="2"/>
  <c r="M292" i="2"/>
  <c r="L292" i="2"/>
  <c r="O291" i="2"/>
  <c r="N291" i="2"/>
  <c r="L291" i="2"/>
  <c r="M291" i="2" s="1"/>
  <c r="O290" i="2"/>
  <c r="L290" i="2"/>
  <c r="O289" i="2"/>
  <c r="L289" i="2"/>
  <c r="O288" i="2"/>
  <c r="L288" i="2"/>
  <c r="O287" i="2"/>
  <c r="M287" i="2"/>
  <c r="L287" i="2"/>
  <c r="O286" i="2"/>
  <c r="N286" i="2"/>
  <c r="L286" i="2"/>
  <c r="M286" i="2" s="1"/>
  <c r="O285" i="2"/>
  <c r="N285" i="2"/>
  <c r="M285" i="2"/>
  <c r="L285" i="2"/>
  <c r="O284" i="2"/>
  <c r="N284" i="2"/>
  <c r="M284" i="2"/>
  <c r="L284" i="2"/>
  <c r="O283" i="2"/>
  <c r="L283" i="2"/>
  <c r="M283" i="2" s="1"/>
  <c r="N283" i="2" s="1"/>
  <c r="O282" i="2"/>
  <c r="L282" i="2"/>
  <c r="O281" i="2"/>
  <c r="L281" i="2"/>
  <c r="O280" i="2"/>
  <c r="L280" i="2"/>
  <c r="O279" i="2"/>
  <c r="M279" i="2"/>
  <c r="L279" i="2"/>
  <c r="N279" i="2" s="1"/>
  <c r="O278" i="2"/>
  <c r="L278" i="2"/>
  <c r="O277" i="2"/>
  <c r="N277" i="2"/>
  <c r="M277" i="2"/>
  <c r="L277" i="2"/>
  <c r="O276" i="2"/>
  <c r="N276" i="2"/>
  <c r="M276" i="2"/>
  <c r="L276" i="2"/>
  <c r="O275" i="2"/>
  <c r="L275" i="2"/>
  <c r="M275" i="2" s="1"/>
  <c r="N275" i="2" s="1"/>
  <c r="O274" i="2"/>
  <c r="L274" i="2"/>
  <c r="O273" i="2"/>
  <c r="L273" i="2"/>
  <c r="M273" i="2" s="1"/>
  <c r="O272" i="2"/>
  <c r="L272" i="2"/>
  <c r="O271" i="2"/>
  <c r="M271" i="2"/>
  <c r="L271" i="2"/>
  <c r="N271" i="2" s="1"/>
  <c r="O270" i="2"/>
  <c r="M270" i="2"/>
  <c r="L270" i="2"/>
  <c r="N270" i="2" s="1"/>
  <c r="O269" i="2"/>
  <c r="N269" i="2"/>
  <c r="M269" i="2"/>
  <c r="L269" i="2"/>
  <c r="O268" i="2"/>
  <c r="N268" i="2"/>
  <c r="M268" i="2"/>
  <c r="L268" i="2"/>
  <c r="O267" i="2"/>
  <c r="N267" i="2"/>
  <c r="L267" i="2"/>
  <c r="M267" i="2" s="1"/>
  <c r="O266" i="2"/>
  <c r="L266" i="2"/>
  <c r="O265" i="2"/>
  <c r="M265" i="2"/>
  <c r="L265" i="2"/>
  <c r="O264" i="2"/>
  <c r="M264" i="2"/>
  <c r="L264" i="2"/>
  <c r="O263" i="2"/>
  <c r="M263" i="2"/>
  <c r="L263" i="2"/>
  <c r="O262" i="2"/>
  <c r="L262" i="2"/>
  <c r="O261" i="2"/>
  <c r="N261" i="2"/>
  <c r="M261" i="2"/>
  <c r="L261" i="2"/>
  <c r="O260" i="2"/>
  <c r="N260" i="2"/>
  <c r="M260" i="2"/>
  <c r="L260" i="2"/>
  <c r="O259" i="2"/>
  <c r="L259" i="2"/>
  <c r="M259" i="2" s="1"/>
  <c r="N259" i="2" s="1"/>
  <c r="O258" i="2"/>
  <c r="L258" i="2"/>
  <c r="O257" i="2"/>
  <c r="M257" i="2"/>
  <c r="L257" i="2"/>
  <c r="O256" i="2"/>
  <c r="L256" i="2"/>
  <c r="O255" i="2"/>
  <c r="M255" i="2"/>
  <c r="L255" i="2"/>
  <c r="N255" i="2" s="1"/>
  <c r="O254" i="2"/>
  <c r="M254" i="2"/>
  <c r="L254" i="2"/>
  <c r="O253" i="2"/>
  <c r="N253" i="2"/>
  <c r="M253" i="2"/>
  <c r="L253" i="2"/>
  <c r="O252" i="2"/>
  <c r="N252" i="2"/>
  <c r="M252" i="2"/>
  <c r="L252" i="2"/>
  <c r="P251" i="2"/>
  <c r="Q251" i="2" s="1"/>
  <c r="O251" i="2"/>
  <c r="L251" i="2"/>
  <c r="M251" i="2" s="1"/>
  <c r="N251" i="2" s="1"/>
  <c r="O250" i="2"/>
  <c r="L250" i="2"/>
  <c r="O249" i="2"/>
  <c r="L249" i="2"/>
  <c r="O248" i="2"/>
  <c r="M248" i="2"/>
  <c r="L248" i="2"/>
  <c r="O247" i="2"/>
  <c r="M247" i="2"/>
  <c r="L247" i="2"/>
  <c r="N247" i="2" s="1"/>
  <c r="O246" i="2"/>
  <c r="L246" i="2"/>
  <c r="O245" i="2"/>
  <c r="N245" i="2"/>
  <c r="M245" i="2"/>
  <c r="L245" i="2"/>
  <c r="O244" i="2"/>
  <c r="N244" i="2"/>
  <c r="M244" i="2"/>
  <c r="L244" i="2"/>
  <c r="O243" i="2"/>
  <c r="N243" i="2"/>
  <c r="P243" i="2" s="1"/>
  <c r="Q243" i="2" s="1"/>
  <c r="L243" i="2"/>
  <c r="M243" i="2" s="1"/>
  <c r="O242" i="2"/>
  <c r="L242" i="2"/>
  <c r="O241" i="2"/>
  <c r="L241" i="2"/>
  <c r="O240" i="2"/>
  <c r="M240" i="2"/>
  <c r="L240" i="2"/>
  <c r="O239" i="2"/>
  <c r="M239" i="2"/>
  <c r="L239" i="2"/>
  <c r="O238" i="2"/>
  <c r="M238" i="2"/>
  <c r="L238" i="2"/>
  <c r="N238" i="2" s="1"/>
  <c r="O237" i="2"/>
  <c r="N237" i="2"/>
  <c r="M237" i="2"/>
  <c r="L237" i="2"/>
  <c r="O236" i="2"/>
  <c r="N236" i="2"/>
  <c r="M236" i="2"/>
  <c r="L236" i="2"/>
  <c r="O235" i="2"/>
  <c r="L235" i="2"/>
  <c r="M235" i="2" s="1"/>
  <c r="N235" i="2" s="1"/>
  <c r="O234" i="2"/>
  <c r="L234" i="2"/>
  <c r="O233" i="2"/>
  <c r="M233" i="2"/>
  <c r="L233" i="2"/>
  <c r="O232" i="2"/>
  <c r="L232" i="2"/>
  <c r="O231" i="2"/>
  <c r="M231" i="2"/>
  <c r="L231" i="2"/>
  <c r="N231" i="2" s="1"/>
  <c r="O230" i="2"/>
  <c r="M230" i="2"/>
  <c r="N230" i="2" s="1"/>
  <c r="L230" i="2"/>
  <c r="O229" i="2"/>
  <c r="N229" i="2"/>
  <c r="M229" i="2"/>
  <c r="L229" i="2"/>
  <c r="O228" i="2"/>
  <c r="N228" i="2"/>
  <c r="M228" i="2"/>
  <c r="L228" i="2"/>
  <c r="O227" i="2"/>
  <c r="L227" i="2"/>
  <c r="M227" i="2" s="1"/>
  <c r="N227" i="2" s="1"/>
  <c r="O226" i="2"/>
  <c r="L226" i="2"/>
  <c r="O225" i="2"/>
  <c r="M225" i="2"/>
  <c r="L225" i="2"/>
  <c r="O224" i="2"/>
  <c r="L224" i="2"/>
  <c r="M224" i="2" s="1"/>
  <c r="O223" i="2"/>
  <c r="M223" i="2"/>
  <c r="L223" i="2"/>
  <c r="O222" i="2"/>
  <c r="N222" i="2"/>
  <c r="M222" i="2"/>
  <c r="L222" i="2"/>
  <c r="O221" i="2"/>
  <c r="N221" i="2"/>
  <c r="M221" i="2"/>
  <c r="L221" i="2"/>
  <c r="O220" i="2"/>
  <c r="N220" i="2"/>
  <c r="M220" i="2"/>
  <c r="L220" i="2"/>
  <c r="O219" i="2"/>
  <c r="L219" i="2"/>
  <c r="M219" i="2" s="1"/>
  <c r="N219" i="2" s="1"/>
  <c r="O218" i="2"/>
  <c r="L218" i="2"/>
  <c r="O217" i="2"/>
  <c r="L217" i="2"/>
  <c r="O216" i="2"/>
  <c r="M216" i="2"/>
  <c r="L216" i="2"/>
  <c r="O215" i="2"/>
  <c r="M215" i="2"/>
  <c r="L215" i="2"/>
  <c r="O214" i="2"/>
  <c r="L214" i="2"/>
  <c r="M214" i="2" s="1"/>
  <c r="N214" i="2" s="1"/>
  <c r="O213" i="2"/>
  <c r="N213" i="2"/>
  <c r="M213" i="2"/>
  <c r="L213" i="2"/>
  <c r="O212" i="2"/>
  <c r="N212" i="2"/>
  <c r="M212" i="2"/>
  <c r="L212" i="2"/>
  <c r="O211" i="2"/>
  <c r="L211" i="2"/>
  <c r="M211" i="2" s="1"/>
  <c r="N211" i="2" s="1"/>
  <c r="O210" i="2"/>
  <c r="L210" i="2"/>
  <c r="O209" i="2"/>
  <c r="M209" i="2"/>
  <c r="L209" i="2"/>
  <c r="O208" i="2"/>
  <c r="L208" i="2"/>
  <c r="O207" i="2"/>
  <c r="M207" i="2"/>
  <c r="L207" i="2"/>
  <c r="N207" i="2" s="1"/>
  <c r="O206" i="2"/>
  <c r="L206" i="2"/>
  <c r="O205" i="2"/>
  <c r="N205" i="2"/>
  <c r="M205" i="2"/>
  <c r="L205" i="2"/>
  <c r="O204" i="2"/>
  <c r="N204" i="2"/>
  <c r="M204" i="2"/>
  <c r="L204" i="2"/>
  <c r="O203" i="2"/>
  <c r="N203" i="2"/>
  <c r="M203" i="2"/>
  <c r="L203" i="2"/>
  <c r="O202" i="2"/>
  <c r="L202" i="2"/>
  <c r="O201" i="2"/>
  <c r="L201" i="2"/>
  <c r="O200" i="2"/>
  <c r="L200" i="2"/>
  <c r="O199" i="2"/>
  <c r="M199" i="2"/>
  <c r="L199" i="2"/>
  <c r="N199" i="2" s="1"/>
  <c r="O198" i="2"/>
  <c r="M198" i="2"/>
  <c r="N198" i="2" s="1"/>
  <c r="L198" i="2"/>
  <c r="O197" i="2"/>
  <c r="L197" i="2"/>
  <c r="M197" i="2" s="1"/>
  <c r="O196" i="2"/>
  <c r="L196" i="2"/>
  <c r="O195" i="2"/>
  <c r="N195" i="2"/>
  <c r="L195" i="2"/>
  <c r="M195" i="2" s="1"/>
  <c r="O194" i="2"/>
  <c r="L194" i="2"/>
  <c r="O193" i="2"/>
  <c r="N193" i="2"/>
  <c r="P193" i="2" s="1"/>
  <c r="M193" i="2"/>
  <c r="L193" i="2"/>
  <c r="O192" i="2"/>
  <c r="M192" i="2"/>
  <c r="L192" i="2"/>
  <c r="O191" i="2"/>
  <c r="N191" i="2"/>
  <c r="M191" i="2"/>
  <c r="L191" i="2"/>
  <c r="O190" i="2"/>
  <c r="N190" i="2"/>
  <c r="P190" i="2" s="1"/>
  <c r="M190" i="2"/>
  <c r="L190" i="2"/>
  <c r="O189" i="2"/>
  <c r="L189" i="2"/>
  <c r="O188" i="2"/>
  <c r="L188" i="2"/>
  <c r="O187" i="2"/>
  <c r="M187" i="2"/>
  <c r="N187" i="2" s="1"/>
  <c r="L187" i="2"/>
  <c r="O186" i="2"/>
  <c r="L186" i="2"/>
  <c r="M186" i="2" s="1"/>
  <c r="O185" i="2"/>
  <c r="M185" i="2"/>
  <c r="L185" i="2"/>
  <c r="N185" i="2" s="1"/>
  <c r="P185" i="2" s="1"/>
  <c r="O184" i="2"/>
  <c r="N184" i="2"/>
  <c r="M184" i="2"/>
  <c r="L184" i="2"/>
  <c r="O183" i="2"/>
  <c r="N183" i="2"/>
  <c r="M183" i="2"/>
  <c r="L183" i="2"/>
  <c r="O182" i="2"/>
  <c r="M182" i="2"/>
  <c r="L182" i="2"/>
  <c r="N182" i="2" s="1"/>
  <c r="P182" i="2" s="1"/>
  <c r="P181" i="2"/>
  <c r="Q181" i="2" s="1"/>
  <c r="O181" i="2"/>
  <c r="N181" i="2"/>
  <c r="L181" i="2"/>
  <c r="M181" i="2" s="1"/>
  <c r="O180" i="2"/>
  <c r="L180" i="2"/>
  <c r="O179" i="2"/>
  <c r="L179" i="2"/>
  <c r="O178" i="2"/>
  <c r="M178" i="2"/>
  <c r="N178" i="2" s="1"/>
  <c r="L178" i="2"/>
  <c r="O177" i="2"/>
  <c r="M177" i="2"/>
  <c r="N177" i="2" s="1"/>
  <c r="L177" i="2"/>
  <c r="P176" i="2"/>
  <c r="Q176" i="2" s="1"/>
  <c r="O176" i="2"/>
  <c r="M176" i="2"/>
  <c r="L176" i="2"/>
  <c r="N176" i="2" s="1"/>
  <c r="O175" i="2"/>
  <c r="P175" i="2" s="1"/>
  <c r="N175" i="2"/>
  <c r="M175" i="2"/>
  <c r="L175" i="2"/>
  <c r="O174" i="2"/>
  <c r="M174" i="2"/>
  <c r="N174" i="2" s="1"/>
  <c r="L174" i="2"/>
  <c r="O173" i="2"/>
  <c r="L173" i="2"/>
  <c r="M173" i="2" s="1"/>
  <c r="O172" i="2"/>
  <c r="L172" i="2"/>
  <c r="O171" i="2"/>
  <c r="M171" i="2"/>
  <c r="L171" i="2"/>
  <c r="O170" i="2"/>
  <c r="L170" i="2"/>
  <c r="O169" i="2"/>
  <c r="M169" i="2"/>
  <c r="N169" i="2" s="1"/>
  <c r="L169" i="2"/>
  <c r="O168" i="2"/>
  <c r="M168" i="2"/>
  <c r="N168" i="2" s="1"/>
  <c r="L168" i="2"/>
  <c r="O167" i="2"/>
  <c r="M167" i="2"/>
  <c r="N167" i="2" s="1"/>
  <c r="L167" i="2"/>
  <c r="O166" i="2"/>
  <c r="L166" i="2"/>
  <c r="O165" i="2"/>
  <c r="L165" i="2"/>
  <c r="M165" i="2" s="1"/>
  <c r="O164" i="2"/>
  <c r="L164" i="2"/>
  <c r="O163" i="2"/>
  <c r="L163" i="2"/>
  <c r="O162" i="2"/>
  <c r="L162" i="2"/>
  <c r="M162" i="2" s="1"/>
  <c r="O161" i="2"/>
  <c r="L161" i="2"/>
  <c r="M161" i="2" s="1"/>
  <c r="N161" i="2" s="1"/>
  <c r="O160" i="2"/>
  <c r="L160" i="2"/>
  <c r="O159" i="2"/>
  <c r="M159" i="2"/>
  <c r="N159" i="2" s="1"/>
  <c r="L159" i="2"/>
  <c r="O158" i="2"/>
  <c r="N158" i="2"/>
  <c r="L158" i="2"/>
  <c r="M158" i="2" s="1"/>
  <c r="O157" i="2"/>
  <c r="L157" i="2"/>
  <c r="M157" i="2" s="1"/>
  <c r="O156" i="2"/>
  <c r="L156" i="2"/>
  <c r="O155" i="2"/>
  <c r="N155" i="2"/>
  <c r="M155" i="2"/>
  <c r="L155" i="2"/>
  <c r="O154" i="2"/>
  <c r="L154" i="2"/>
  <c r="O153" i="2"/>
  <c r="L153" i="2"/>
  <c r="Q152" i="2"/>
  <c r="O152" i="2"/>
  <c r="N152" i="2"/>
  <c r="P152" i="2" s="1"/>
  <c r="M152" i="2"/>
  <c r="L152" i="2"/>
  <c r="O151" i="2"/>
  <c r="M151" i="2"/>
  <c r="N151" i="2" s="1"/>
  <c r="L151" i="2"/>
  <c r="O150" i="2"/>
  <c r="L150" i="2"/>
  <c r="O149" i="2"/>
  <c r="N149" i="2"/>
  <c r="P149" i="2" s="1"/>
  <c r="L149" i="2"/>
  <c r="M149" i="2" s="1"/>
  <c r="O148" i="2"/>
  <c r="L148" i="2"/>
  <c r="O147" i="2"/>
  <c r="L147" i="2"/>
  <c r="M147" i="2" s="1"/>
  <c r="N147" i="2" s="1"/>
  <c r="P147" i="2" s="1"/>
  <c r="Q147" i="2" s="1"/>
  <c r="O146" i="2"/>
  <c r="M146" i="2"/>
  <c r="N146" i="2" s="1"/>
  <c r="L146" i="2"/>
  <c r="O145" i="2"/>
  <c r="L145" i="2"/>
  <c r="O144" i="2"/>
  <c r="L144" i="2"/>
  <c r="O143" i="2"/>
  <c r="M143" i="2"/>
  <c r="N143" i="2" s="1"/>
  <c r="L143" i="2"/>
  <c r="O142" i="2"/>
  <c r="L142" i="2"/>
  <c r="M142" i="2" s="1"/>
  <c r="O141" i="2"/>
  <c r="L141" i="2"/>
  <c r="M141" i="2" s="1"/>
  <c r="O140" i="2"/>
  <c r="L140" i="2"/>
  <c r="O139" i="2"/>
  <c r="L139" i="2"/>
  <c r="M139" i="2" s="1"/>
  <c r="O138" i="2"/>
  <c r="L138" i="2"/>
  <c r="M138" i="2" s="1"/>
  <c r="N138" i="2" s="1"/>
  <c r="O137" i="2"/>
  <c r="L137" i="2"/>
  <c r="O136" i="2"/>
  <c r="L136" i="2"/>
  <c r="P135" i="2"/>
  <c r="O135" i="2"/>
  <c r="N135" i="2"/>
  <c r="M135" i="2"/>
  <c r="L135" i="2"/>
  <c r="O134" i="2"/>
  <c r="L134" i="2"/>
  <c r="M134" i="2" s="1"/>
  <c r="O133" i="2"/>
  <c r="L133" i="2"/>
  <c r="O132" i="2"/>
  <c r="L132" i="2"/>
  <c r="O131" i="2"/>
  <c r="N131" i="2"/>
  <c r="L131" i="2"/>
  <c r="M131" i="2" s="1"/>
  <c r="O130" i="2"/>
  <c r="N130" i="2"/>
  <c r="P130" i="2" s="1"/>
  <c r="L130" i="2"/>
  <c r="M130" i="2" s="1"/>
  <c r="O129" i="2"/>
  <c r="M129" i="2"/>
  <c r="N129" i="2" s="1"/>
  <c r="L129" i="2"/>
  <c r="O128" i="2"/>
  <c r="L128" i="2"/>
  <c r="O127" i="2"/>
  <c r="N127" i="2"/>
  <c r="M127" i="2"/>
  <c r="L127" i="2"/>
  <c r="O126" i="2"/>
  <c r="P126" i="2" s="1"/>
  <c r="N126" i="2"/>
  <c r="M126" i="2"/>
  <c r="L126" i="2"/>
  <c r="O125" i="2"/>
  <c r="L125" i="2"/>
  <c r="O124" i="2"/>
  <c r="L124" i="2"/>
  <c r="O123" i="2"/>
  <c r="N123" i="2"/>
  <c r="M123" i="2"/>
  <c r="L123" i="2"/>
  <c r="O122" i="2"/>
  <c r="N122" i="2"/>
  <c r="L122" i="2"/>
  <c r="M122" i="2" s="1"/>
  <c r="O121" i="2"/>
  <c r="M121" i="2"/>
  <c r="L121" i="2"/>
  <c r="N121" i="2" s="1"/>
  <c r="P121" i="2" s="1"/>
  <c r="O120" i="2"/>
  <c r="M120" i="2"/>
  <c r="N120" i="2" s="1"/>
  <c r="L120" i="2"/>
  <c r="O119" i="2"/>
  <c r="N119" i="2"/>
  <c r="M119" i="2"/>
  <c r="L119" i="2"/>
  <c r="P118" i="2"/>
  <c r="O118" i="2"/>
  <c r="M118" i="2"/>
  <c r="L118" i="2"/>
  <c r="N118" i="2" s="1"/>
  <c r="O117" i="2"/>
  <c r="L117" i="2"/>
  <c r="M117" i="2" s="1"/>
  <c r="O116" i="2"/>
  <c r="L116" i="2"/>
  <c r="O115" i="2"/>
  <c r="L115" i="2"/>
  <c r="O114" i="2"/>
  <c r="L114" i="2"/>
  <c r="O113" i="2"/>
  <c r="L113" i="2"/>
  <c r="O112" i="2"/>
  <c r="M112" i="2"/>
  <c r="L112" i="2"/>
  <c r="N112" i="2" s="1"/>
  <c r="P112" i="2" s="1"/>
  <c r="Q112" i="2" s="1"/>
  <c r="O111" i="2"/>
  <c r="M111" i="2"/>
  <c r="N111" i="2" s="1"/>
  <c r="L111" i="2"/>
  <c r="O110" i="2"/>
  <c r="L110" i="2"/>
  <c r="M110" i="2" s="1"/>
  <c r="O109" i="2"/>
  <c r="L109" i="2"/>
  <c r="O108" i="2"/>
  <c r="L108" i="2"/>
  <c r="O107" i="2"/>
  <c r="M107" i="2"/>
  <c r="L107" i="2"/>
  <c r="O106" i="2"/>
  <c r="L106" i="2"/>
  <c r="O105" i="2"/>
  <c r="M105" i="2"/>
  <c r="N105" i="2" s="1"/>
  <c r="L105" i="2"/>
  <c r="O104" i="2"/>
  <c r="N104" i="2"/>
  <c r="P104" i="2" s="1"/>
  <c r="M104" i="2"/>
  <c r="L104" i="2"/>
  <c r="O103" i="2"/>
  <c r="P103" i="2" s="1"/>
  <c r="M103" i="2"/>
  <c r="N103" i="2" s="1"/>
  <c r="L103" i="2"/>
  <c r="O102" i="2"/>
  <c r="L102" i="2"/>
  <c r="O101" i="2"/>
  <c r="L101" i="2"/>
  <c r="M101" i="2" s="1"/>
  <c r="O100" i="2"/>
  <c r="L100" i="2"/>
  <c r="O99" i="2"/>
  <c r="L99" i="2"/>
  <c r="O98" i="2"/>
  <c r="M98" i="2"/>
  <c r="L98" i="2"/>
  <c r="O97" i="2"/>
  <c r="N97" i="2"/>
  <c r="P97" i="2" s="1"/>
  <c r="L97" i="2"/>
  <c r="M97" i="2" s="1"/>
  <c r="O96" i="2"/>
  <c r="L96" i="2"/>
  <c r="O95" i="2"/>
  <c r="M95" i="2"/>
  <c r="N95" i="2" s="1"/>
  <c r="L95" i="2"/>
  <c r="O94" i="2"/>
  <c r="L94" i="2"/>
  <c r="M94" i="2" s="1"/>
  <c r="N94" i="2" s="1"/>
  <c r="O93" i="2"/>
  <c r="L93" i="2"/>
  <c r="M93" i="2" s="1"/>
  <c r="O92" i="2"/>
  <c r="L92" i="2"/>
  <c r="O91" i="2"/>
  <c r="N91" i="2"/>
  <c r="P91" i="2" s="1"/>
  <c r="M91" i="2"/>
  <c r="L91" i="2"/>
  <c r="O90" i="2"/>
  <c r="L90" i="2"/>
  <c r="O89" i="2"/>
  <c r="L89" i="2"/>
  <c r="O88" i="2"/>
  <c r="L88" i="2"/>
  <c r="M88" i="2" s="1"/>
  <c r="N88" i="2" s="1"/>
  <c r="O87" i="2"/>
  <c r="M87" i="2"/>
  <c r="N87" i="2" s="1"/>
  <c r="L87" i="2"/>
  <c r="O86" i="2"/>
  <c r="L86" i="2"/>
  <c r="O85" i="2"/>
  <c r="N85" i="2"/>
  <c r="P85" i="2" s="1"/>
  <c r="Q85" i="2" s="1"/>
  <c r="L85" i="2"/>
  <c r="M85" i="2" s="1"/>
  <c r="O84" i="2"/>
  <c r="L84" i="2"/>
  <c r="O83" i="2"/>
  <c r="L83" i="2"/>
  <c r="M83" i="2" s="1"/>
  <c r="N83" i="2" s="1"/>
  <c r="O82" i="2"/>
  <c r="N82" i="2"/>
  <c r="M82" i="2"/>
  <c r="L82" i="2"/>
  <c r="O81" i="2"/>
  <c r="L81" i="2"/>
  <c r="M81" i="2" s="1"/>
  <c r="O80" i="2"/>
  <c r="L80" i="2"/>
  <c r="O79" i="2"/>
  <c r="N79" i="2"/>
  <c r="M79" i="2"/>
  <c r="L79" i="2"/>
  <c r="O78" i="2"/>
  <c r="L78" i="2"/>
  <c r="O77" i="2"/>
  <c r="L77" i="2"/>
  <c r="M77" i="2" s="1"/>
  <c r="O76" i="2"/>
  <c r="L76" i="2"/>
  <c r="O75" i="2"/>
  <c r="L75" i="2"/>
  <c r="O74" i="2"/>
  <c r="L74" i="2"/>
  <c r="M74" i="2" s="1"/>
  <c r="O73" i="2"/>
  <c r="L73" i="2"/>
  <c r="M73" i="2" s="1"/>
  <c r="N73" i="2" s="1"/>
  <c r="O72" i="2"/>
  <c r="N72" i="2"/>
  <c r="M72" i="2"/>
  <c r="L72" i="2"/>
  <c r="O71" i="2"/>
  <c r="P71" i="2" s="1"/>
  <c r="N71" i="2"/>
  <c r="M71" i="2"/>
  <c r="L71" i="2"/>
  <c r="O70" i="2"/>
  <c r="L70" i="2"/>
  <c r="O69" i="2"/>
  <c r="L69" i="2"/>
  <c r="M69" i="2" s="1"/>
  <c r="O68" i="2"/>
  <c r="L68" i="2"/>
  <c r="O67" i="2"/>
  <c r="L67" i="2"/>
  <c r="M67" i="2" s="1"/>
  <c r="O66" i="2"/>
  <c r="M66" i="2"/>
  <c r="N66" i="2" s="1"/>
  <c r="L66" i="2"/>
  <c r="O65" i="2"/>
  <c r="N65" i="2"/>
  <c r="P65" i="2" s="1"/>
  <c r="M65" i="2"/>
  <c r="L65" i="2"/>
  <c r="O64" i="2"/>
  <c r="L64" i="2"/>
  <c r="O63" i="2"/>
  <c r="M63" i="2"/>
  <c r="N63" i="2" s="1"/>
  <c r="L63" i="2"/>
  <c r="O62" i="2"/>
  <c r="M62" i="2"/>
  <c r="N62" i="2" s="1"/>
  <c r="L62" i="2"/>
  <c r="O61" i="2"/>
  <c r="P61" i="2" s="1"/>
  <c r="N61" i="2"/>
  <c r="L61" i="2"/>
  <c r="M61" i="2" s="1"/>
  <c r="O60" i="2"/>
  <c r="L60" i="2"/>
  <c r="O59" i="2"/>
  <c r="L59" i="2"/>
  <c r="O58" i="2"/>
  <c r="L58" i="2"/>
  <c r="O57" i="2"/>
  <c r="L57" i="2"/>
  <c r="M57" i="2" s="1"/>
  <c r="O56" i="2"/>
  <c r="N56" i="2"/>
  <c r="M56" i="2"/>
  <c r="L56" i="2"/>
  <c r="O55" i="2"/>
  <c r="N55" i="2"/>
  <c r="M55" i="2"/>
  <c r="L55" i="2"/>
  <c r="O54" i="2"/>
  <c r="L54" i="2"/>
  <c r="M54" i="2" s="1"/>
  <c r="O53" i="2"/>
  <c r="L53" i="2"/>
  <c r="M53" i="2" s="1"/>
  <c r="O52" i="2"/>
  <c r="L52" i="2"/>
  <c r="O51" i="2"/>
  <c r="L51" i="2"/>
  <c r="O50" i="2"/>
  <c r="L50" i="2"/>
  <c r="M50" i="2" s="1"/>
  <c r="O49" i="2"/>
  <c r="M49" i="2"/>
  <c r="N49" i="2" s="1"/>
  <c r="L49" i="2"/>
  <c r="O48" i="2"/>
  <c r="M48" i="2"/>
  <c r="L48" i="2"/>
  <c r="O47" i="2"/>
  <c r="P47" i="2" s="1"/>
  <c r="N47" i="2"/>
  <c r="M47" i="2"/>
  <c r="L47" i="2"/>
  <c r="O46" i="2"/>
  <c r="L46" i="2"/>
  <c r="M46" i="2" s="1"/>
  <c r="O45" i="2"/>
  <c r="M45" i="2"/>
  <c r="L45" i="2"/>
  <c r="N45" i="2" s="1"/>
  <c r="O44" i="2"/>
  <c r="M44" i="2"/>
  <c r="L44" i="2"/>
  <c r="O43" i="2"/>
  <c r="L43" i="2"/>
  <c r="M43" i="2" s="1"/>
  <c r="O42" i="2"/>
  <c r="L42" i="2"/>
  <c r="O41" i="2"/>
  <c r="M41" i="2"/>
  <c r="L41" i="2"/>
  <c r="O40" i="2"/>
  <c r="L40" i="2"/>
  <c r="M40" i="2" s="1"/>
  <c r="N40" i="2" s="1"/>
  <c r="O39" i="2"/>
  <c r="L39" i="2"/>
  <c r="O38" i="2"/>
  <c r="M38" i="2"/>
  <c r="N38" i="2" s="1"/>
  <c r="L38" i="2"/>
  <c r="O37" i="2"/>
  <c r="L37" i="2"/>
  <c r="M37" i="2" s="1"/>
  <c r="O36" i="2"/>
  <c r="M36" i="2"/>
  <c r="N36" i="2" s="1"/>
  <c r="L36" i="2"/>
  <c r="O35" i="2"/>
  <c r="N35" i="2"/>
  <c r="M35" i="2"/>
  <c r="L35" i="2"/>
  <c r="O34" i="2"/>
  <c r="L34" i="2"/>
  <c r="M34" i="2" s="1"/>
  <c r="O33" i="2"/>
  <c r="L33" i="2"/>
  <c r="M33" i="2" s="1"/>
  <c r="O32" i="2"/>
  <c r="L32" i="2"/>
  <c r="M32" i="2" s="1"/>
  <c r="N32" i="2" s="1"/>
  <c r="O31" i="2"/>
  <c r="L31" i="2"/>
  <c r="O30" i="2"/>
  <c r="L30" i="2"/>
  <c r="O29" i="2"/>
  <c r="L29" i="2"/>
  <c r="M29" i="2" s="1"/>
  <c r="O28" i="2"/>
  <c r="M28" i="2"/>
  <c r="N28" i="2" s="1"/>
  <c r="L28" i="2"/>
  <c r="O27" i="2"/>
  <c r="L27" i="2"/>
  <c r="O26" i="2"/>
  <c r="L26" i="2"/>
  <c r="O25" i="2"/>
  <c r="L25" i="2"/>
  <c r="O24" i="2"/>
  <c r="L24" i="2"/>
  <c r="M24" i="2" s="1"/>
  <c r="N24" i="2" s="1"/>
  <c r="O23" i="2"/>
  <c r="L23" i="2"/>
  <c r="O22" i="2"/>
  <c r="L22" i="2"/>
  <c r="M22" i="2" s="1"/>
  <c r="O21" i="2"/>
  <c r="L21" i="2"/>
  <c r="O20" i="2"/>
  <c r="M20" i="2"/>
  <c r="N20" i="2" s="1"/>
  <c r="L20" i="2"/>
  <c r="O19" i="2"/>
  <c r="L19" i="2"/>
  <c r="O18" i="2"/>
  <c r="L18" i="2"/>
  <c r="M18" i="2" s="1"/>
  <c r="N18" i="2" s="1"/>
  <c r="O17" i="2"/>
  <c r="L17" i="2"/>
  <c r="O16" i="2"/>
  <c r="L16" i="2"/>
  <c r="M16" i="2" s="1"/>
  <c r="N16" i="2" s="1"/>
  <c r="O15" i="2"/>
  <c r="L15" i="2"/>
  <c r="M15" i="2" s="1"/>
  <c r="N15" i="2" s="1"/>
  <c r="O14" i="2"/>
  <c r="L14" i="2"/>
  <c r="O13" i="2"/>
  <c r="L13" i="2"/>
  <c r="M13" i="2" s="1"/>
  <c r="O12" i="2"/>
  <c r="N12" i="2"/>
  <c r="M12" i="2"/>
  <c r="L12" i="2"/>
  <c r="O11" i="2"/>
  <c r="L11" i="2"/>
  <c r="O10" i="2"/>
  <c r="L10" i="2"/>
  <c r="O9" i="2"/>
  <c r="M9" i="2"/>
  <c r="L9" i="2"/>
  <c r="O8" i="2"/>
  <c r="N8" i="2"/>
  <c r="L8" i="2"/>
  <c r="M8" i="2" s="1"/>
  <c r="O7" i="2"/>
  <c r="L7" i="2"/>
  <c r="M7" i="2" s="1"/>
  <c r="O6" i="2"/>
  <c r="M6" i="2"/>
  <c r="N6" i="2" s="1"/>
  <c r="L6" i="2"/>
  <c r="O5" i="2"/>
  <c r="M5" i="2"/>
  <c r="L5" i="2"/>
  <c r="O4" i="2"/>
  <c r="M4" i="2"/>
  <c r="N4" i="2" s="1"/>
  <c r="L4" i="2"/>
  <c r="O3" i="2"/>
  <c r="L3" i="2"/>
  <c r="M3" i="2" s="1"/>
  <c r="N3" i="2" s="1"/>
  <c r="O2" i="2"/>
  <c r="N2" i="2"/>
  <c r="M2" i="2"/>
  <c r="L2" i="2"/>
  <c r="P187" i="2" l="1"/>
  <c r="Q187" i="2" s="1"/>
  <c r="Q227" i="2"/>
  <c r="P227" i="2"/>
  <c r="P355" i="2"/>
  <c r="Q355" i="2" s="1"/>
  <c r="P40" i="2"/>
  <c r="Q40" i="2"/>
  <c r="P146" i="2"/>
  <c r="Q146" i="2" s="1"/>
  <c r="P238" i="2"/>
  <c r="Q238" i="2" s="1"/>
  <c r="N31" i="2"/>
  <c r="B33" i="4" s="1"/>
  <c r="P32" i="2"/>
  <c r="P211" i="2"/>
  <c r="Q211" i="2" s="1"/>
  <c r="P294" i="2"/>
  <c r="Q294" i="2" s="1"/>
  <c r="N366" i="2"/>
  <c r="Q315" i="2"/>
  <c r="P38" i="2"/>
  <c r="Q38" i="2"/>
  <c r="P151" i="2"/>
  <c r="Q151" i="2" s="1"/>
  <c r="Q18" i="2"/>
  <c r="P18" i="2"/>
  <c r="P83" i="2"/>
  <c r="Q83" i="2" s="1"/>
  <c r="P6" i="2"/>
  <c r="Q6" i="2"/>
  <c r="Q35" i="2"/>
  <c r="P111" i="2"/>
  <c r="Q111" i="2" s="1"/>
  <c r="Q178" i="2"/>
  <c r="P178" i="2"/>
  <c r="Q16" i="2"/>
  <c r="P16" i="2"/>
  <c r="N10" i="2"/>
  <c r="Q63" i="2"/>
  <c r="P63" i="2"/>
  <c r="P318" i="2"/>
  <c r="Q318" i="2" s="1"/>
  <c r="P446" i="2"/>
  <c r="Q446" i="2" s="1"/>
  <c r="Q24" i="2"/>
  <c r="P24" i="2"/>
  <c r="P66" i="2"/>
  <c r="Q66" i="2" s="1"/>
  <c r="P174" i="2"/>
  <c r="Q174" i="2" s="1"/>
  <c r="P161" i="2"/>
  <c r="Q161" i="2" s="1"/>
  <c r="P168" i="2"/>
  <c r="Q168" i="2" s="1"/>
  <c r="P219" i="2"/>
  <c r="Q219" i="2" s="1"/>
  <c r="P347" i="2"/>
  <c r="Q347" i="2" s="1"/>
  <c r="Q230" i="2"/>
  <c r="P230" i="2"/>
  <c r="P275" i="2"/>
  <c r="Q275" i="2"/>
  <c r="P45" i="2"/>
  <c r="Q45" i="2"/>
  <c r="Q299" i="2"/>
  <c r="P299" i="2"/>
  <c r="N26" i="2"/>
  <c r="N78" i="2"/>
  <c r="P177" i="2"/>
  <c r="Q177" i="2"/>
  <c r="P20" i="2"/>
  <c r="Q20" i="2"/>
  <c r="Q28" i="2"/>
  <c r="P28" i="2"/>
  <c r="P169" i="2"/>
  <c r="Q169" i="2"/>
  <c r="Q443" i="2"/>
  <c r="P88" i="2"/>
  <c r="Q88" i="2"/>
  <c r="N114" i="2"/>
  <c r="P4" i="2"/>
  <c r="Q4" i="2"/>
  <c r="P120" i="2"/>
  <c r="Q120" i="2" s="1"/>
  <c r="N39" i="2"/>
  <c r="P198" i="2"/>
  <c r="Q198" i="2" s="1"/>
  <c r="N58" i="2"/>
  <c r="N42" i="2"/>
  <c r="Q61" i="2"/>
  <c r="P105" i="2"/>
  <c r="Q105" i="2" s="1"/>
  <c r="P36" i="2"/>
  <c r="Q36" i="2" s="1"/>
  <c r="P73" i="2"/>
  <c r="Q73" i="2" s="1"/>
  <c r="P129" i="2"/>
  <c r="Q129" i="2"/>
  <c r="Q184" i="2"/>
  <c r="P15" i="2"/>
  <c r="Q15" i="2" s="1"/>
  <c r="N30" i="2"/>
  <c r="B25" i="3" s="1"/>
  <c r="P3" i="2"/>
  <c r="Q3" i="2" s="1"/>
  <c r="P49" i="2"/>
  <c r="Q49" i="2"/>
  <c r="Q62" i="2"/>
  <c r="P62" i="2"/>
  <c r="P87" i="2"/>
  <c r="Q87" i="2" s="1"/>
  <c r="P94" i="2"/>
  <c r="Q94" i="2" s="1"/>
  <c r="N113" i="2"/>
  <c r="Q143" i="2"/>
  <c r="P143" i="2"/>
  <c r="Q403" i="2"/>
  <c r="P403" i="2"/>
  <c r="P414" i="2"/>
  <c r="Q414" i="2" s="1"/>
  <c r="P286" i="2"/>
  <c r="Q286" i="2" s="1"/>
  <c r="Q235" i="2"/>
  <c r="P235" i="2"/>
  <c r="N81" i="2"/>
  <c r="M166" i="2"/>
  <c r="N166" i="2" s="1"/>
  <c r="M194" i="2"/>
  <c r="N194" i="2" s="1"/>
  <c r="P231" i="2"/>
  <c r="Q231" i="2" s="1"/>
  <c r="N310" i="2"/>
  <c r="P343" i="2"/>
  <c r="Q343" i="2" s="1"/>
  <c r="N374" i="2"/>
  <c r="Q398" i="2"/>
  <c r="P398" i="2"/>
  <c r="P431" i="2"/>
  <c r="Q431" i="2" s="1"/>
  <c r="Q484" i="2"/>
  <c r="P483" i="2"/>
  <c r="Q483" i="2"/>
  <c r="N34" i="2"/>
  <c r="P277" i="2"/>
  <c r="Q277" i="2" s="1"/>
  <c r="N272" i="2"/>
  <c r="N25" i="2"/>
  <c r="Q149" i="2"/>
  <c r="Q479" i="2"/>
  <c r="P479" i="2"/>
  <c r="M10" i="2"/>
  <c r="N22" i="2"/>
  <c r="N50" i="2"/>
  <c r="M64" i="2"/>
  <c r="N64" i="2" s="1"/>
  <c r="M99" i="2"/>
  <c r="N99" i="2" s="1"/>
  <c r="Q118" i="2"/>
  <c r="M154" i="2"/>
  <c r="N154" i="2" s="1"/>
  <c r="N186" i="2"/>
  <c r="P199" i="2"/>
  <c r="Q199" i="2" s="1"/>
  <c r="N208" i="2"/>
  <c r="M208" i="2"/>
  <c r="P222" i="2"/>
  <c r="Q222" i="2" s="1"/>
  <c r="N306" i="2"/>
  <c r="M328" i="2"/>
  <c r="N328" i="2" s="1"/>
  <c r="M361" i="2"/>
  <c r="N361" i="2" s="1"/>
  <c r="M408" i="2"/>
  <c r="N408" i="2" s="1"/>
  <c r="N454" i="2"/>
  <c r="N465" i="2"/>
  <c r="N7" i="2"/>
  <c r="N67" i="2"/>
  <c r="M78" i="2"/>
  <c r="N89" i="2"/>
  <c r="M89" i="2"/>
  <c r="M96" i="2"/>
  <c r="N96" i="2" s="1"/>
  <c r="M114" i="2"/>
  <c r="Q121" i="2"/>
  <c r="P138" i="2"/>
  <c r="Q138" i="2" s="1"/>
  <c r="N171" i="2"/>
  <c r="P203" i="2"/>
  <c r="Q203" i="2" s="1"/>
  <c r="M241" i="2"/>
  <c r="N241" i="2" s="1"/>
  <c r="N254" i="2"/>
  <c r="N278" i="2"/>
  <c r="P283" i="2"/>
  <c r="Q283" i="2" s="1"/>
  <c r="P315" i="2"/>
  <c r="M366" i="2"/>
  <c r="P379" i="2"/>
  <c r="Q379" i="2" s="1"/>
  <c r="M384" i="2"/>
  <c r="N384" i="2" s="1"/>
  <c r="N394" i="2"/>
  <c r="Q445" i="2"/>
  <c r="P445" i="2"/>
  <c r="M454" i="2"/>
  <c r="M465" i="2"/>
  <c r="Q500" i="2"/>
  <c r="M102" i="2"/>
  <c r="N102" i="2" s="1"/>
  <c r="N54" i="2"/>
  <c r="N110" i="2"/>
  <c r="N41" i="2"/>
  <c r="Q47" i="2"/>
  <c r="Q71" i="2"/>
  <c r="Q103" i="2"/>
  <c r="N107" i="2"/>
  <c r="Q126" i="2"/>
  <c r="P158" i="2"/>
  <c r="Q158" i="2" s="1"/>
  <c r="Q175" i="2"/>
  <c r="N209" i="2"/>
  <c r="P213" i="2"/>
  <c r="Q213" i="2" s="1"/>
  <c r="N223" i="2"/>
  <c r="P259" i="2"/>
  <c r="Q259" i="2" s="1"/>
  <c r="M297" i="2"/>
  <c r="N297" i="2" s="1"/>
  <c r="N302" i="2"/>
  <c r="N320" i="2"/>
  <c r="Q339" i="2"/>
  <c r="N399" i="2"/>
  <c r="P422" i="2"/>
  <c r="Q422" i="2" s="1"/>
  <c r="P427" i="2"/>
  <c r="Q427" i="2" s="1"/>
  <c r="P491" i="2"/>
  <c r="Q491" i="2" s="1"/>
  <c r="M496" i="2"/>
  <c r="N496" i="2" s="1"/>
  <c r="N46" i="2"/>
  <c r="M60" i="2"/>
  <c r="N60" i="2" s="1"/>
  <c r="Q91" i="2"/>
  <c r="M170" i="2"/>
  <c r="N170" i="2" s="1"/>
  <c r="Q435" i="2"/>
  <c r="M25" i="2"/>
  <c r="M26" i="2"/>
  <c r="N206" i="2"/>
  <c r="M206" i="2"/>
  <c r="N314" i="2"/>
  <c r="N337" i="2"/>
  <c r="P341" i="2"/>
  <c r="Q341" i="2" s="1"/>
  <c r="P351" i="2"/>
  <c r="Q351" i="2" s="1"/>
  <c r="M369" i="2"/>
  <c r="N369" i="2" s="1"/>
  <c r="N43" i="2"/>
  <c r="M113" i="2"/>
  <c r="M125" i="2"/>
  <c r="N125" i="2"/>
  <c r="M133" i="2"/>
  <c r="N133" i="2" s="1"/>
  <c r="M217" i="2"/>
  <c r="N217" i="2" s="1"/>
  <c r="P342" i="2"/>
  <c r="Q342" i="2" s="1"/>
  <c r="N370" i="2"/>
  <c r="Q397" i="2"/>
  <c r="P397" i="2"/>
  <c r="P407" i="2"/>
  <c r="Q407" i="2" s="1"/>
  <c r="M19" i="2"/>
  <c r="N19" i="2" s="1"/>
  <c r="M31" i="2"/>
  <c r="Q193" i="2"/>
  <c r="N74" i="2"/>
  <c r="P253" i="2"/>
  <c r="Q253" i="2" s="1"/>
  <c r="P122" i="2"/>
  <c r="Q122" i="2" s="1"/>
  <c r="Q167" i="2"/>
  <c r="P183" i="2"/>
  <c r="Q183" i="2" s="1"/>
  <c r="P195" i="2"/>
  <c r="Q195" i="2" s="1"/>
  <c r="Q269" i="2"/>
  <c r="P269" i="2"/>
  <c r="P279" i="2"/>
  <c r="Q279" i="2" s="1"/>
  <c r="Q389" i="2"/>
  <c r="P389" i="2"/>
  <c r="N442" i="2"/>
  <c r="M11" i="2"/>
  <c r="N11" i="2" s="1"/>
  <c r="N17" i="2"/>
  <c r="M23" i="2"/>
  <c r="N23" i="2" s="1"/>
  <c r="M51" i="2"/>
  <c r="N51" i="2" s="1"/>
  <c r="M58" i="2"/>
  <c r="M68" i="2"/>
  <c r="N68" i="2" s="1"/>
  <c r="M75" i="2"/>
  <c r="N75" i="2" s="1"/>
  <c r="M86" i="2"/>
  <c r="N86" i="2" s="1"/>
  <c r="N93" i="2"/>
  <c r="N139" i="2"/>
  <c r="M163" i="2"/>
  <c r="N163" i="2" s="1"/>
  <c r="M200" i="2"/>
  <c r="N200" i="2" s="1"/>
  <c r="P214" i="2"/>
  <c r="Q214" i="2" s="1"/>
  <c r="M246" i="2"/>
  <c r="N246" i="2" s="1"/>
  <c r="Q284" i="2"/>
  <c r="N289" i="2"/>
  <c r="N312" i="2"/>
  <c r="M334" i="2"/>
  <c r="N334" i="2" s="1"/>
  <c r="M409" i="2"/>
  <c r="N409" i="2" s="1"/>
  <c r="P423" i="2"/>
  <c r="Q423" i="2" s="1"/>
  <c r="N5" i="2"/>
  <c r="M14" i="2"/>
  <c r="N14" i="2" s="1"/>
  <c r="M17" i="2"/>
  <c r="P35" i="2"/>
  <c r="N48" i="2"/>
  <c r="P82" i="2"/>
  <c r="Q82" i="2" s="1"/>
  <c r="M90" i="2"/>
  <c r="N90" i="2" s="1"/>
  <c r="M115" i="2"/>
  <c r="N115" i="2" s="1"/>
  <c r="Q130" i="2"/>
  <c r="Q135" i="2"/>
  <c r="P159" i="2"/>
  <c r="Q159" i="2" s="1"/>
  <c r="P167" i="2"/>
  <c r="M172" i="2"/>
  <c r="N172" i="2" s="1"/>
  <c r="Q228" i="2"/>
  <c r="N233" i="2"/>
  <c r="Q270" i="2"/>
  <c r="P270" i="2"/>
  <c r="M289" i="2"/>
  <c r="P303" i="2"/>
  <c r="Q303" i="2" s="1"/>
  <c r="Q307" i="2"/>
  <c r="M312" i="2"/>
  <c r="N330" i="2"/>
  <c r="P349" i="2"/>
  <c r="Q349" i="2" s="1"/>
  <c r="M376" i="2"/>
  <c r="N376" i="2" s="1"/>
  <c r="M390" i="2"/>
  <c r="N390" i="2" s="1"/>
  <c r="N400" i="2"/>
  <c r="P56" i="2"/>
  <c r="Q56" i="2" s="1"/>
  <c r="N29" i="2"/>
  <c r="Q55" i="2"/>
  <c r="Q79" i="2"/>
  <c r="P119" i="2"/>
  <c r="Q119" i="2" s="1"/>
  <c r="M180" i="2"/>
  <c r="N180" i="2" s="1"/>
  <c r="N192" i="2"/>
  <c r="N215" i="2"/>
  <c r="M280" i="2"/>
  <c r="N280" i="2" s="1"/>
  <c r="N335" i="2"/>
  <c r="M345" i="2"/>
  <c r="N345" i="2" s="1"/>
  <c r="Q358" i="2"/>
  <c r="P358" i="2"/>
  <c r="P363" i="2"/>
  <c r="Q363" i="2" s="1"/>
  <c r="Q395" i="2"/>
  <c r="P419" i="2"/>
  <c r="Q419" i="2" s="1"/>
  <c r="N456" i="2"/>
  <c r="M456" i="2"/>
  <c r="Q467" i="2"/>
  <c r="Q463" i="2"/>
  <c r="P463" i="2"/>
  <c r="C10" i="3"/>
  <c r="N488" i="2"/>
  <c r="M488" i="2"/>
  <c r="N165" i="2"/>
  <c r="N37" i="2"/>
  <c r="Q185" i="2"/>
  <c r="N162" i="2"/>
  <c r="P131" i="2"/>
  <c r="Q131" i="2" s="1"/>
  <c r="P8" i="2"/>
  <c r="Q8" i="2" s="1"/>
  <c r="M27" i="2"/>
  <c r="N27" i="2" s="1"/>
  <c r="M39" i="2"/>
  <c r="M42" i="2"/>
  <c r="N52" i="2"/>
  <c r="M52" i="2"/>
  <c r="P55" i="2"/>
  <c r="M76" i="2"/>
  <c r="N76" i="2" s="1"/>
  <c r="P79" i="2"/>
  <c r="N136" i="2"/>
  <c r="M148" i="2"/>
  <c r="N148" i="2" s="1"/>
  <c r="P155" i="2"/>
  <c r="Q155" i="2" s="1"/>
  <c r="M160" i="2"/>
  <c r="N160" i="2" s="1"/>
  <c r="Q220" i="2"/>
  <c r="Q271" i="2"/>
  <c r="P271" i="2"/>
  <c r="P359" i="2"/>
  <c r="Q359" i="2" s="1"/>
  <c r="N438" i="2"/>
  <c r="Q487" i="2"/>
  <c r="P487" i="2"/>
  <c r="M262" i="2"/>
  <c r="N262" i="2" s="1"/>
  <c r="Q244" i="2"/>
  <c r="P489" i="2"/>
  <c r="Q489" i="2"/>
  <c r="M106" i="2"/>
  <c r="N106" i="2" s="1"/>
  <c r="N13" i="2"/>
  <c r="M30" i="2"/>
  <c r="M59" i="2"/>
  <c r="N59" i="2" s="1"/>
  <c r="Q65" i="2"/>
  <c r="N69" i="2"/>
  <c r="M80" i="2"/>
  <c r="N80" i="2" s="1"/>
  <c r="Q97" i="2"/>
  <c r="N101" i="2"/>
  <c r="Q104" i="2"/>
  <c r="M116" i="2"/>
  <c r="N116" i="2" s="1"/>
  <c r="N128" i="2"/>
  <c r="M132" i="2"/>
  <c r="N132" i="2" s="1"/>
  <c r="M136" i="2"/>
  <c r="P184" i="2"/>
  <c r="N197" i="2"/>
  <c r="Q261" i="2"/>
  <c r="P261" i="2"/>
  <c r="P317" i="2"/>
  <c r="Q317" i="2" s="1"/>
  <c r="N326" i="2"/>
  <c r="M336" i="2"/>
  <c r="N336" i="2" s="1"/>
  <c r="P350" i="2"/>
  <c r="Q350" i="2" s="1"/>
  <c r="P381" i="2"/>
  <c r="Q381" i="2" s="1"/>
  <c r="M401" i="2"/>
  <c r="N401" i="2" s="1"/>
  <c r="P405" i="2"/>
  <c r="Q405" i="2" s="1"/>
  <c r="Q411" i="2"/>
  <c r="N434" i="2"/>
  <c r="P443" i="2"/>
  <c r="M462" i="2"/>
  <c r="N462" i="2" s="1"/>
  <c r="Q498" i="2"/>
  <c r="P498" i="2"/>
  <c r="N145" i="2"/>
  <c r="N53" i="2"/>
  <c r="M70" i="2"/>
  <c r="N70" i="2" s="1"/>
  <c r="M84" i="2"/>
  <c r="N84" i="2" s="1"/>
  <c r="N117" i="2"/>
  <c r="M137" i="2"/>
  <c r="N137" i="2" s="1"/>
  <c r="M145" i="2"/>
  <c r="M153" i="2"/>
  <c r="N153" i="2" s="1"/>
  <c r="Q221" i="2"/>
  <c r="P221" i="2"/>
  <c r="M272" i="2"/>
  <c r="P291" i="2"/>
  <c r="Q291" i="2" s="1"/>
  <c r="M382" i="2"/>
  <c r="N382" i="2" s="1"/>
  <c r="M425" i="2"/>
  <c r="N425" i="2" s="1"/>
  <c r="N430" i="2"/>
  <c r="P12" i="2"/>
  <c r="Q12" i="2" s="1"/>
  <c r="Q95" i="2"/>
  <c r="Q182" i="2"/>
  <c r="P207" i="2"/>
  <c r="Q207" i="2" s="1"/>
  <c r="N157" i="2"/>
  <c r="N273" i="2"/>
  <c r="Q356" i="2"/>
  <c r="N417" i="2"/>
  <c r="M440" i="2"/>
  <c r="N440" i="2" s="1"/>
  <c r="P453" i="2"/>
  <c r="Q453" i="2" s="1"/>
  <c r="Q459" i="2"/>
  <c r="N57" i="2"/>
  <c r="P95" i="2"/>
  <c r="N134" i="2"/>
  <c r="N142" i="2"/>
  <c r="M150" i="2"/>
  <c r="N150" i="2" s="1"/>
  <c r="Q190" i="2"/>
  <c r="N179" i="2"/>
  <c r="P2" i="2"/>
  <c r="Q2" i="2" s="1"/>
  <c r="P72" i="2"/>
  <c r="Q72" i="2" s="1"/>
  <c r="M108" i="2"/>
  <c r="N108" i="2" s="1"/>
  <c r="Q127" i="2"/>
  <c r="P127" i="2"/>
  <c r="M140" i="2"/>
  <c r="N140" i="2" s="1"/>
  <c r="N144" i="2"/>
  <c r="M144" i="2"/>
  <c r="M256" i="2"/>
  <c r="N256" i="2" s="1"/>
  <c r="N266" i="2"/>
  <c r="P325" i="2"/>
  <c r="Q325" i="2" s="1"/>
  <c r="Q372" i="2"/>
  <c r="M472" i="2"/>
  <c r="N472" i="2" s="1"/>
  <c r="N33" i="2"/>
  <c r="P123" i="2"/>
  <c r="Q123" i="2" s="1"/>
  <c r="N9" i="2"/>
  <c r="M21" i="2"/>
  <c r="N21" i="2" s="1"/>
  <c r="N98" i="2"/>
  <c r="M109" i="2"/>
  <c r="N109" i="2" s="1"/>
  <c r="M124" i="2"/>
  <c r="N124" i="2" s="1"/>
  <c r="M128" i="2"/>
  <c r="M189" i="2"/>
  <c r="N189" i="2"/>
  <c r="N248" i="2"/>
  <c r="P267" i="2"/>
  <c r="Q267" i="2" s="1"/>
  <c r="M281" i="2"/>
  <c r="N281" i="2" s="1"/>
  <c r="N295" i="2"/>
  <c r="M326" i="2"/>
  <c r="Q387" i="2"/>
  <c r="N448" i="2"/>
  <c r="P493" i="2"/>
  <c r="Q493" i="2" s="1"/>
  <c r="P205" i="2"/>
  <c r="Q205" i="2" s="1"/>
  <c r="N225" i="2"/>
  <c r="Q236" i="2"/>
  <c r="N264" i="2"/>
  <c r="N287" i="2"/>
  <c r="P333" i="2"/>
  <c r="Q333" i="2" s="1"/>
  <c r="N353" i="2"/>
  <c r="N392" i="2"/>
  <c r="N415" i="2"/>
  <c r="Q461" i="2"/>
  <c r="P461" i="2"/>
  <c r="P469" i="2"/>
  <c r="Q469" i="2" s="1"/>
  <c r="N474" i="2"/>
  <c r="P478" i="2"/>
  <c r="Q478" i="2" s="1"/>
  <c r="N156" i="2"/>
  <c r="M156" i="2"/>
  <c r="P229" i="2"/>
  <c r="Q229" i="2" s="1"/>
  <c r="P311" i="2"/>
  <c r="Q311" i="2" s="1"/>
  <c r="P357" i="2"/>
  <c r="Q357" i="2" s="1"/>
  <c r="N377" i="2"/>
  <c r="Q388" i="2"/>
  <c r="N416" i="2"/>
  <c r="Q439" i="2"/>
  <c r="P439" i="2"/>
  <c r="P470" i="2"/>
  <c r="Q470" i="2" s="1"/>
  <c r="N92" i="2"/>
  <c r="M92" i="2"/>
  <c r="N44" i="2"/>
  <c r="N77" i="2"/>
  <c r="N141" i="2"/>
  <c r="P237" i="2"/>
  <c r="Q237" i="2" s="1"/>
  <c r="M249" i="2"/>
  <c r="N249" i="2" s="1"/>
  <c r="N257" i="2"/>
  <c r="Q268" i="2"/>
  <c r="M288" i="2"/>
  <c r="N288" i="2" s="1"/>
  <c r="N296" i="2"/>
  <c r="N319" i="2"/>
  <c r="Q365" i="2"/>
  <c r="P365" i="2"/>
  <c r="M377" i="2"/>
  <c r="N385" i="2"/>
  <c r="M416" i="2"/>
  <c r="N424" i="2"/>
  <c r="N447" i="2"/>
  <c r="P475" i="2"/>
  <c r="Q475" i="2" s="1"/>
  <c r="M196" i="2"/>
  <c r="N196" i="2" s="1"/>
  <c r="N234" i="2"/>
  <c r="Q245" i="2"/>
  <c r="P245" i="2"/>
  <c r="N265" i="2"/>
  <c r="N304" i="2"/>
  <c r="N327" i="2"/>
  <c r="P373" i="2"/>
  <c r="Q373" i="2" s="1"/>
  <c r="N393" i="2"/>
  <c r="N432" i="2"/>
  <c r="N455" i="2"/>
  <c r="N471" i="2"/>
  <c r="N480" i="2"/>
  <c r="P501" i="2"/>
  <c r="Q501" i="2" s="1"/>
  <c r="Q476" i="2"/>
  <c r="N216" i="2"/>
  <c r="N239" i="2"/>
  <c r="N274" i="2"/>
  <c r="P285" i="2"/>
  <c r="Q285" i="2" s="1"/>
  <c r="N305" i="2"/>
  <c r="Q316" i="2"/>
  <c r="N344" i="2"/>
  <c r="N367" i="2"/>
  <c r="N402" i="2"/>
  <c r="P413" i="2"/>
  <c r="Q413" i="2" s="1"/>
  <c r="N433" i="2"/>
  <c r="M464" i="2"/>
  <c r="N464" i="2" s="1"/>
  <c r="Q485" i="2"/>
  <c r="P485" i="2"/>
  <c r="P494" i="2"/>
  <c r="Q494" i="2" s="1"/>
  <c r="N188" i="2"/>
  <c r="M188" i="2"/>
  <c r="P293" i="2"/>
  <c r="Q293" i="2" s="1"/>
  <c r="N313" i="2"/>
  <c r="N441" i="2"/>
  <c r="Q452" i="2"/>
  <c r="N173" i="2"/>
  <c r="M179" i="2"/>
  <c r="Q255" i="2"/>
  <c r="P255" i="2"/>
  <c r="M278" i="2"/>
  <c r="N290" i="2"/>
  <c r="Q301" i="2"/>
  <c r="P301" i="2"/>
  <c r="M313" i="2"/>
  <c r="Q332" i="2"/>
  <c r="N360" i="2"/>
  <c r="N383" i="2"/>
  <c r="M406" i="2"/>
  <c r="N406" i="2" s="1"/>
  <c r="N418" i="2"/>
  <c r="P429" i="2"/>
  <c r="Q429" i="2" s="1"/>
  <c r="M441" i="2"/>
  <c r="N473" i="2"/>
  <c r="Q481" i="2"/>
  <c r="N495" i="2"/>
  <c r="N224" i="2"/>
  <c r="P247" i="2"/>
  <c r="Q247" i="2" s="1"/>
  <c r="N282" i="2"/>
  <c r="Q324" i="2"/>
  <c r="N352" i="2"/>
  <c r="P375" i="2"/>
  <c r="Q375" i="2" s="1"/>
  <c r="Q421" i="2"/>
  <c r="P421" i="2"/>
  <c r="M100" i="2"/>
  <c r="N100" i="2" s="1"/>
  <c r="N164" i="2"/>
  <c r="M164" i="2"/>
  <c r="P191" i="2"/>
  <c r="Q191" i="2" s="1"/>
  <c r="M201" i="2"/>
  <c r="N201" i="2" s="1"/>
  <c r="Q212" i="2"/>
  <c r="M232" i="2"/>
  <c r="N232" i="2" s="1"/>
  <c r="N240" i="2"/>
  <c r="N263" i="2"/>
  <c r="P309" i="2"/>
  <c r="Q309" i="2" s="1"/>
  <c r="N329" i="2"/>
  <c r="N368" i="2"/>
  <c r="N391" i="2"/>
  <c r="N426" i="2"/>
  <c r="Q437" i="2"/>
  <c r="P437" i="2"/>
  <c r="M449" i="2"/>
  <c r="N449" i="2" s="1"/>
  <c r="N457" i="2"/>
  <c r="P477" i="2"/>
  <c r="Q477" i="2" s="1"/>
  <c r="N482" i="2"/>
  <c r="Q486" i="2"/>
  <c r="P486" i="2"/>
  <c r="P204" i="2"/>
  <c r="Q204" i="2" s="1"/>
  <c r="P212" i="2"/>
  <c r="P220" i="2"/>
  <c r="P228" i="2"/>
  <c r="P236" i="2"/>
  <c r="P244" i="2"/>
  <c r="P252" i="2"/>
  <c r="Q252" i="2" s="1"/>
  <c r="P260" i="2"/>
  <c r="Q260" i="2" s="1"/>
  <c r="P268" i="2"/>
  <c r="P276" i="2"/>
  <c r="Q276" i="2" s="1"/>
  <c r="P284" i="2"/>
  <c r="P292" i="2"/>
  <c r="Q292" i="2" s="1"/>
  <c r="P300" i="2"/>
  <c r="Q300" i="2" s="1"/>
  <c r="P308" i="2"/>
  <c r="Q308" i="2" s="1"/>
  <c r="P316" i="2"/>
  <c r="P324" i="2"/>
  <c r="P332" i="2"/>
  <c r="P340" i="2"/>
  <c r="Q340" i="2" s="1"/>
  <c r="P348" i="2"/>
  <c r="Q348" i="2" s="1"/>
  <c r="P356" i="2"/>
  <c r="P364" i="2"/>
  <c r="Q364" i="2" s="1"/>
  <c r="P372" i="2"/>
  <c r="P380" i="2"/>
  <c r="Q380" i="2" s="1"/>
  <c r="P388" i="2"/>
  <c r="P396" i="2"/>
  <c r="Q396" i="2" s="1"/>
  <c r="P404" i="2"/>
  <c r="Q404" i="2" s="1"/>
  <c r="P412" i="2"/>
  <c r="Q412" i="2" s="1"/>
  <c r="P420" i="2"/>
  <c r="Q420" i="2" s="1"/>
  <c r="P428" i="2"/>
  <c r="Q428" i="2" s="1"/>
  <c r="P436" i="2"/>
  <c r="Q436" i="2" s="1"/>
  <c r="P444" i="2"/>
  <c r="Q444" i="2" s="1"/>
  <c r="P452" i="2"/>
  <c r="P460" i="2"/>
  <c r="Q460" i="2" s="1"/>
  <c r="P468" i="2"/>
  <c r="Q468" i="2" s="1"/>
  <c r="P476" i="2"/>
  <c r="P484" i="2"/>
  <c r="P492" i="2"/>
  <c r="Q492" i="2" s="1"/>
  <c r="P500" i="2"/>
  <c r="M202" i="2"/>
  <c r="N202" i="2" s="1"/>
  <c r="M210" i="2"/>
  <c r="N210" i="2" s="1"/>
  <c r="M218" i="2"/>
  <c r="N218" i="2" s="1"/>
  <c r="M226" i="2"/>
  <c r="N226" i="2" s="1"/>
  <c r="M234" i="2"/>
  <c r="M242" i="2"/>
  <c r="N242" i="2" s="1"/>
  <c r="M250" i="2"/>
  <c r="N250" i="2" s="1"/>
  <c r="M258" i="2"/>
  <c r="N258" i="2" s="1"/>
  <c r="M266" i="2"/>
  <c r="M274" i="2"/>
  <c r="M282" i="2"/>
  <c r="M290" i="2"/>
  <c r="M298" i="2"/>
  <c r="N298" i="2" s="1"/>
  <c r="M306" i="2"/>
  <c r="M314" i="2"/>
  <c r="M322" i="2"/>
  <c r="N322" i="2" s="1"/>
  <c r="M330" i="2"/>
  <c r="M338" i="2"/>
  <c r="N338" i="2" s="1"/>
  <c r="M346" i="2"/>
  <c r="N346" i="2" s="1"/>
  <c r="M354" i="2"/>
  <c r="N354" i="2" s="1"/>
  <c r="M362" i="2"/>
  <c r="N362" i="2" s="1"/>
  <c r="M370" i="2"/>
  <c r="M378" i="2"/>
  <c r="N378" i="2" s="1"/>
  <c r="M386" i="2"/>
  <c r="N386" i="2" s="1"/>
  <c r="M394" i="2"/>
  <c r="M402" i="2"/>
  <c r="M410" i="2"/>
  <c r="N410" i="2" s="1"/>
  <c r="M418" i="2"/>
  <c r="M426" i="2"/>
  <c r="M434" i="2"/>
  <c r="M442" i="2"/>
  <c r="M450" i="2"/>
  <c r="N450" i="2" s="1"/>
  <c r="M458" i="2"/>
  <c r="N458" i="2" s="1"/>
  <c r="M466" i="2"/>
  <c r="N466" i="2" s="1"/>
  <c r="M474" i="2"/>
  <c r="M482" i="2"/>
  <c r="M490" i="2"/>
  <c r="N490" i="2" s="1"/>
  <c r="P490" i="2" l="1"/>
  <c r="Q490" i="2" s="1"/>
  <c r="P172" i="2"/>
  <c r="Q172" i="2" s="1"/>
  <c r="P354" i="2"/>
  <c r="Q354" i="2"/>
  <c r="P217" i="2"/>
  <c r="Q217" i="2"/>
  <c r="Q154" i="2"/>
  <c r="P154" i="2"/>
  <c r="P386" i="2"/>
  <c r="Q386" i="2" s="1"/>
  <c r="P249" i="2"/>
  <c r="Q249" i="2"/>
  <c r="P258" i="2"/>
  <c r="Q258" i="2" s="1"/>
  <c r="P19" i="2"/>
  <c r="Q19" i="2" s="1"/>
  <c r="B41" i="3"/>
  <c r="B34" i="4"/>
  <c r="P378" i="2"/>
  <c r="Q378" i="2" s="1"/>
  <c r="E13" i="4"/>
  <c r="B8" i="3"/>
  <c r="Q11" i="2"/>
  <c r="P11" i="2"/>
  <c r="A5" i="4"/>
  <c r="B15" i="4"/>
  <c r="B18" i="4" s="1"/>
  <c r="B26" i="4"/>
  <c r="B40" i="3"/>
  <c r="B26" i="3"/>
  <c r="F26" i="3" s="1"/>
  <c r="Q242" i="2"/>
  <c r="P242" i="2"/>
  <c r="P406" i="2"/>
  <c r="Q406" i="2" s="1"/>
  <c r="P472" i="2"/>
  <c r="Q472" i="2" s="1"/>
  <c r="P262" i="2"/>
  <c r="Q262" i="2" s="1"/>
  <c r="Q362" i="2"/>
  <c r="P362" i="2"/>
  <c r="P100" i="2"/>
  <c r="Q100" i="2" s="1"/>
  <c r="P382" i="2"/>
  <c r="Q382" i="2" s="1"/>
  <c r="P226" i="2"/>
  <c r="Q226" i="2"/>
  <c r="Q116" i="2"/>
  <c r="P116" i="2"/>
  <c r="P218" i="2"/>
  <c r="Q218" i="2"/>
  <c r="Q390" i="2"/>
  <c r="P390" i="2"/>
  <c r="P338" i="2"/>
  <c r="Q338" i="2" s="1"/>
  <c r="Q200" i="2"/>
  <c r="P200" i="2"/>
  <c r="P133" i="2"/>
  <c r="Q133" i="2" s="1"/>
  <c r="P137" i="2"/>
  <c r="Q137" i="2"/>
  <c r="P336" i="2"/>
  <c r="Q336" i="2" s="1"/>
  <c r="P160" i="2"/>
  <c r="Q160" i="2" s="1"/>
  <c r="P86" i="2"/>
  <c r="Q86" i="2" s="1"/>
  <c r="P496" i="2"/>
  <c r="Q496" i="2" s="1"/>
  <c r="B42" i="3"/>
  <c r="P196" i="2"/>
  <c r="Q196" i="2" s="1"/>
  <c r="P75" i="2"/>
  <c r="Q75" i="2" s="1"/>
  <c r="B37" i="3"/>
  <c r="P132" i="2"/>
  <c r="Q132" i="2"/>
  <c r="P458" i="2"/>
  <c r="Q458" i="2" s="1"/>
  <c r="Q322" i="2"/>
  <c r="P322" i="2"/>
  <c r="P280" i="2"/>
  <c r="Q280" i="2"/>
  <c r="P109" i="2"/>
  <c r="Q109" i="2" s="1"/>
  <c r="Q108" i="2"/>
  <c r="P108" i="2"/>
  <c r="P84" i="2"/>
  <c r="Q84" i="2" s="1"/>
  <c r="P148" i="2"/>
  <c r="Q148" i="2" s="1"/>
  <c r="B18" i="3"/>
  <c r="I13" i="4"/>
  <c r="B33" i="3"/>
  <c r="P14" i="2"/>
  <c r="Q14" i="2"/>
  <c r="B7" i="3"/>
  <c r="E12" i="4"/>
  <c r="B27" i="3"/>
  <c r="P68" i="2"/>
  <c r="Q68" i="2" s="1"/>
  <c r="P369" i="2"/>
  <c r="Q369" i="2" s="1"/>
  <c r="P334" i="2"/>
  <c r="Q334" i="2" s="1"/>
  <c r="P250" i="2"/>
  <c r="Q250" i="2" s="1"/>
  <c r="P150" i="2"/>
  <c r="Q150" i="2" s="1"/>
  <c r="Q102" i="2"/>
  <c r="P102" i="2"/>
  <c r="P462" i="2"/>
  <c r="Q462" i="2" s="1"/>
  <c r="P297" i="2"/>
  <c r="Q297" i="2"/>
  <c r="P449" i="2"/>
  <c r="Q449" i="2"/>
  <c r="P281" i="2"/>
  <c r="Q281" i="2" s="1"/>
  <c r="P27" i="2"/>
  <c r="Q27" i="2" s="1"/>
  <c r="P96" i="2"/>
  <c r="Q96" i="2" s="1"/>
  <c r="P466" i="2"/>
  <c r="Q466" i="2" s="1"/>
  <c r="P115" i="2"/>
  <c r="Q115" i="2" s="1"/>
  <c r="P170" i="2"/>
  <c r="Q170" i="2" s="1"/>
  <c r="P90" i="2"/>
  <c r="Q90" i="2" s="1"/>
  <c r="P450" i="2"/>
  <c r="Q450" i="2" s="1"/>
  <c r="P153" i="2"/>
  <c r="Q153" i="2" s="1"/>
  <c r="P60" i="2"/>
  <c r="Q60" i="2"/>
  <c r="P99" i="2"/>
  <c r="Q99" i="2" s="1"/>
  <c r="P140" i="2"/>
  <c r="Q140" i="2" s="1"/>
  <c r="P345" i="2"/>
  <c r="Q345" i="2" s="1"/>
  <c r="P124" i="2"/>
  <c r="Q124" i="2"/>
  <c r="P59" i="2"/>
  <c r="Q59" i="2"/>
  <c r="I14" i="4"/>
  <c r="B39" i="3"/>
  <c r="P361" i="2"/>
  <c r="Q361" i="2" s="1"/>
  <c r="P194" i="2"/>
  <c r="Q194" i="2"/>
  <c r="P425" i="2"/>
  <c r="Q425" i="2"/>
  <c r="P246" i="2"/>
  <c r="Q246" i="2" s="1"/>
  <c r="P346" i="2"/>
  <c r="Q346" i="2" s="1"/>
  <c r="P210" i="2"/>
  <c r="Q210" i="2" s="1"/>
  <c r="P256" i="2"/>
  <c r="Q256" i="2" s="1"/>
  <c r="P376" i="2"/>
  <c r="Q376" i="2"/>
  <c r="Q202" i="2"/>
  <c r="P202" i="2"/>
  <c r="P401" i="2"/>
  <c r="Q401" i="2"/>
  <c r="P163" i="2"/>
  <c r="Q163" i="2" s="1"/>
  <c r="P464" i="2"/>
  <c r="Q464" i="2" s="1"/>
  <c r="Q440" i="2"/>
  <c r="P440" i="2"/>
  <c r="P80" i="2"/>
  <c r="Q80" i="2"/>
  <c r="P384" i="2"/>
  <c r="Q384" i="2" s="1"/>
  <c r="P64" i="2"/>
  <c r="Q64" i="2" s="1"/>
  <c r="Q298" i="2"/>
  <c r="P298" i="2"/>
  <c r="P410" i="2"/>
  <c r="Q410" i="2"/>
  <c r="P232" i="2"/>
  <c r="Q232" i="2" s="1"/>
  <c r="P288" i="2"/>
  <c r="Q288" i="2" s="1"/>
  <c r="Q70" i="2"/>
  <c r="P70" i="2"/>
  <c r="P408" i="2"/>
  <c r="Q408" i="2"/>
  <c r="P21" i="2"/>
  <c r="Q21" i="2" s="1"/>
  <c r="E10" i="4"/>
  <c r="B5" i="3"/>
  <c r="B27" i="4"/>
  <c r="B15" i="3"/>
  <c r="P106" i="2"/>
  <c r="Q106" i="2" s="1"/>
  <c r="P180" i="2"/>
  <c r="Q180" i="2" s="1"/>
  <c r="Q51" i="2"/>
  <c r="P51" i="2"/>
  <c r="P201" i="2"/>
  <c r="Q201" i="2"/>
  <c r="P76" i="2"/>
  <c r="Q76" i="2" s="1"/>
  <c r="B32" i="4"/>
  <c r="P409" i="2"/>
  <c r="Q409" i="2"/>
  <c r="P23" i="2"/>
  <c r="Q23" i="2" s="1"/>
  <c r="B31" i="4"/>
  <c r="B16" i="3"/>
  <c r="I11" i="4"/>
  <c r="B36" i="3"/>
  <c r="P241" i="2"/>
  <c r="Q241" i="2"/>
  <c r="Q328" i="2"/>
  <c r="P328" i="2"/>
  <c r="P166" i="2"/>
  <c r="Q166" i="2" s="1"/>
  <c r="P352" i="2"/>
  <c r="Q352" i="2" s="1"/>
  <c r="P482" i="2"/>
  <c r="Q482" i="2" s="1"/>
  <c r="P313" i="2"/>
  <c r="Q313" i="2"/>
  <c r="P114" i="2"/>
  <c r="Q114" i="2" s="1"/>
  <c r="P223" i="2"/>
  <c r="Q223" i="2" s="1"/>
  <c r="D40" i="3"/>
  <c r="Q134" i="2"/>
  <c r="P134" i="2"/>
  <c r="P58" i="2"/>
  <c r="Q58" i="2" s="1"/>
  <c r="P282" i="2"/>
  <c r="Q282" i="2"/>
  <c r="P78" i="2"/>
  <c r="Q78" i="2" s="1"/>
  <c r="P37" i="2"/>
  <c r="Q37" i="2" s="1"/>
  <c r="P314" i="2"/>
  <c r="Q314" i="2" s="1"/>
  <c r="P22" i="2"/>
  <c r="E5" i="3" s="1"/>
  <c r="Q22" i="2"/>
  <c r="P305" i="2"/>
  <c r="Q305" i="2"/>
  <c r="P424" i="2"/>
  <c r="Q424" i="2" s="1"/>
  <c r="P145" i="2"/>
  <c r="Q145" i="2"/>
  <c r="P101" i="2"/>
  <c r="Q101" i="2"/>
  <c r="P136" i="2"/>
  <c r="Q136" i="2" s="1"/>
  <c r="P165" i="2"/>
  <c r="Q165" i="2" s="1"/>
  <c r="P171" i="2"/>
  <c r="Q171" i="2"/>
  <c r="P306" i="2"/>
  <c r="Q306" i="2"/>
  <c r="P26" i="2"/>
  <c r="E16" i="3" s="1"/>
  <c r="P417" i="2"/>
  <c r="Q417" i="2" s="1"/>
  <c r="P326" i="2"/>
  <c r="Q326" i="2" s="1"/>
  <c r="P29" i="2"/>
  <c r="Q29" i="2" s="1"/>
  <c r="P74" i="2"/>
  <c r="Q74" i="2" s="1"/>
  <c r="P206" i="2"/>
  <c r="Q206" i="2" s="1"/>
  <c r="P209" i="2"/>
  <c r="Q209" i="2"/>
  <c r="P438" i="2"/>
  <c r="Q438" i="2" s="1"/>
  <c r="P400" i="2"/>
  <c r="Q400" i="2" s="1"/>
  <c r="B38" i="3"/>
  <c r="I12" i="4"/>
  <c r="B17" i="3"/>
  <c r="B25" i="4"/>
  <c r="P5" i="2"/>
  <c r="P93" i="2"/>
  <c r="Q93" i="2" s="1"/>
  <c r="P394" i="2"/>
  <c r="Q394" i="2"/>
  <c r="P368" i="2"/>
  <c r="Q368" i="2"/>
  <c r="P239" i="2"/>
  <c r="Q239" i="2" s="1"/>
  <c r="P392" i="2"/>
  <c r="Q392" i="2" s="1"/>
  <c r="Q9" i="2"/>
  <c r="P9" i="2"/>
  <c r="P273" i="2"/>
  <c r="Q273" i="2" s="1"/>
  <c r="P69" i="2"/>
  <c r="Q69" i="2" s="1"/>
  <c r="P25" i="2"/>
  <c r="Q25" i="2" s="1"/>
  <c r="P117" i="2"/>
  <c r="Q117" i="2" s="1"/>
  <c r="P393" i="2"/>
  <c r="Q393" i="2"/>
  <c r="Q98" i="2"/>
  <c r="P98" i="2"/>
  <c r="P216" i="2"/>
  <c r="Q216" i="2"/>
  <c r="P327" i="2"/>
  <c r="Q327" i="2" s="1"/>
  <c r="P92" i="2"/>
  <c r="Q92" i="2" s="1"/>
  <c r="P179" i="2"/>
  <c r="Q179" i="2" s="1"/>
  <c r="P335" i="2"/>
  <c r="Q335" i="2" s="1"/>
  <c r="P43" i="2"/>
  <c r="Q43" i="2"/>
  <c r="B19" i="3"/>
  <c r="Q455" i="2"/>
  <c r="P455" i="2"/>
  <c r="P39" i="2"/>
  <c r="Q39" i="2" s="1"/>
  <c r="P233" i="2"/>
  <c r="Q233" i="2" s="1"/>
  <c r="B30" i="4"/>
  <c r="P10" i="2"/>
  <c r="Q10" i="2" s="1"/>
  <c r="P157" i="2"/>
  <c r="Q157" i="2"/>
  <c r="P52" i="2"/>
  <c r="Q52" i="2" s="1"/>
  <c r="Q399" i="2"/>
  <c r="P399" i="2"/>
  <c r="P107" i="2"/>
  <c r="Q107" i="2" s="1"/>
  <c r="P89" i="2"/>
  <c r="Q89" i="2"/>
  <c r="P208" i="2"/>
  <c r="Q208" i="2" s="1"/>
  <c r="P272" i="2"/>
  <c r="Q272" i="2" s="1"/>
  <c r="E11" i="4"/>
  <c r="D39" i="3"/>
  <c r="P430" i="2"/>
  <c r="Q430" i="2" s="1"/>
  <c r="P162" i="2"/>
  <c r="Q162" i="2" s="1"/>
  <c r="P447" i="2"/>
  <c r="Q447" i="2" s="1"/>
  <c r="P77" i="2"/>
  <c r="Q77" i="2" s="1"/>
  <c r="P473" i="2"/>
  <c r="Q473" i="2"/>
  <c r="P263" i="2"/>
  <c r="Q263" i="2" s="1"/>
  <c r="P418" i="2"/>
  <c r="Q418" i="2"/>
  <c r="P173" i="2"/>
  <c r="Q173" i="2"/>
  <c r="P156" i="2"/>
  <c r="Q156" i="2" s="1"/>
  <c r="P287" i="2"/>
  <c r="Q287" i="2" s="1"/>
  <c r="Q248" i="2"/>
  <c r="P248" i="2"/>
  <c r="P456" i="2"/>
  <c r="Q456" i="2"/>
  <c r="Q330" i="2"/>
  <c r="P330" i="2"/>
  <c r="P312" i="2"/>
  <c r="Q312" i="2" s="1"/>
  <c r="P42" i="2"/>
  <c r="Q42" i="2" s="1"/>
  <c r="P31" i="2"/>
  <c r="D36" i="3" s="1"/>
  <c r="P234" i="2"/>
  <c r="Q234" i="2" s="1"/>
  <c r="P416" i="2"/>
  <c r="Q416" i="2"/>
  <c r="Q189" i="2"/>
  <c r="P189" i="2"/>
  <c r="P289" i="2"/>
  <c r="Q289" i="2"/>
  <c r="Q370" i="2"/>
  <c r="P370" i="2"/>
  <c r="P441" i="2"/>
  <c r="Q441" i="2"/>
  <c r="P377" i="2"/>
  <c r="Q377" i="2"/>
  <c r="P48" i="2"/>
  <c r="Q48" i="2" s="1"/>
  <c r="P81" i="2"/>
  <c r="Q81" i="2" s="1"/>
  <c r="P164" i="2"/>
  <c r="Q164" i="2" s="1"/>
  <c r="P188" i="2"/>
  <c r="Q188" i="2" s="1"/>
  <c r="P141" i="2"/>
  <c r="Q141" i="2" s="1"/>
  <c r="Q374" i="2"/>
  <c r="P374" i="2"/>
  <c r="P391" i="2"/>
  <c r="Q391" i="2" s="1"/>
  <c r="P274" i="2"/>
  <c r="Q274" i="2" s="1"/>
  <c r="P415" i="2"/>
  <c r="Q415" i="2" s="1"/>
  <c r="Q304" i="2"/>
  <c r="P304" i="2"/>
  <c r="P353" i="2"/>
  <c r="Q353" i="2"/>
  <c r="P434" i="2"/>
  <c r="Q434" i="2" s="1"/>
  <c r="P33" i="2"/>
  <c r="Q33" i="2"/>
  <c r="P197" i="2"/>
  <c r="Q197" i="2" s="1"/>
  <c r="P265" i="2"/>
  <c r="Q265" i="2"/>
  <c r="P319" i="2"/>
  <c r="Q319" i="2" s="1"/>
  <c r="P215" i="2"/>
  <c r="Q215" i="2" s="1"/>
  <c r="Q320" i="2"/>
  <c r="P320" i="2"/>
  <c r="P67" i="2"/>
  <c r="Q67" i="2" s="1"/>
  <c r="Q310" i="2"/>
  <c r="P310" i="2"/>
  <c r="B28" i="4"/>
  <c r="Q32" i="2"/>
  <c r="Q192" i="2"/>
  <c r="P192" i="2"/>
  <c r="P41" i="2"/>
  <c r="Q41" i="2" s="1"/>
  <c r="P465" i="2"/>
  <c r="Q465" i="2"/>
  <c r="P34" i="2"/>
  <c r="F12" i="4" s="1"/>
  <c r="P30" i="2"/>
  <c r="Q30" i="2" s="1"/>
  <c r="P240" i="2"/>
  <c r="Q240" i="2"/>
  <c r="Q264" i="2"/>
  <c r="P264" i="2"/>
  <c r="P110" i="2"/>
  <c r="Q110" i="2" s="1"/>
  <c r="P278" i="2"/>
  <c r="Q278" i="2" s="1"/>
  <c r="Q454" i="2"/>
  <c r="P454" i="2"/>
  <c r="P113" i="2"/>
  <c r="Q113" i="2"/>
  <c r="Q383" i="2"/>
  <c r="P383" i="2"/>
  <c r="P402" i="2"/>
  <c r="Q402" i="2" s="1"/>
  <c r="P480" i="2"/>
  <c r="Q480" i="2" s="1"/>
  <c r="P257" i="2"/>
  <c r="Q257" i="2"/>
  <c r="P57" i="2"/>
  <c r="Q57" i="2"/>
  <c r="P128" i="2"/>
  <c r="Q128" i="2" s="1"/>
  <c r="Q54" i="2"/>
  <c r="P54" i="2"/>
  <c r="P254" i="2"/>
  <c r="Q254" i="2" s="1"/>
  <c r="Q360" i="2"/>
  <c r="P360" i="2"/>
  <c r="P367" i="2"/>
  <c r="Q367" i="2" s="1"/>
  <c r="Q471" i="2"/>
  <c r="P471" i="2"/>
  <c r="P474" i="2"/>
  <c r="Q474" i="2" s="1"/>
  <c r="P225" i="2"/>
  <c r="Q225" i="2"/>
  <c r="P266" i="2"/>
  <c r="Q266" i="2"/>
  <c r="Q17" i="2"/>
  <c r="P17" i="2"/>
  <c r="B29" i="4"/>
  <c r="P46" i="2"/>
  <c r="Q46" i="2" s="1"/>
  <c r="P457" i="2"/>
  <c r="Q457" i="2"/>
  <c r="P344" i="2"/>
  <c r="Q344" i="2"/>
  <c r="P337" i="2"/>
  <c r="Q337" i="2"/>
  <c r="P50" i="2"/>
  <c r="Q50" i="2" s="1"/>
  <c r="P224" i="2"/>
  <c r="Q224" i="2"/>
  <c r="P432" i="2"/>
  <c r="Q432" i="2" s="1"/>
  <c r="Q53" i="2"/>
  <c r="P53" i="2"/>
  <c r="P442" i="2"/>
  <c r="Q442" i="2" s="1"/>
  <c r="P495" i="2"/>
  <c r="Q495" i="2" s="1"/>
  <c r="P144" i="2"/>
  <c r="Q144" i="2" s="1"/>
  <c r="P426" i="2"/>
  <c r="Q426" i="2" s="1"/>
  <c r="P290" i="2"/>
  <c r="Q290" i="2" s="1"/>
  <c r="P488" i="2"/>
  <c r="Q488" i="2"/>
  <c r="P139" i="2"/>
  <c r="Q139" i="2"/>
  <c r="Q125" i="2"/>
  <c r="P125" i="2"/>
  <c r="P366" i="2"/>
  <c r="Q366" i="2" s="1"/>
  <c r="P385" i="2"/>
  <c r="Q385" i="2"/>
  <c r="P44" i="2"/>
  <c r="Q44" i="2" s="1"/>
  <c r="P448" i="2"/>
  <c r="Q448" i="2" s="1"/>
  <c r="P329" i="2"/>
  <c r="Q329" i="2"/>
  <c r="P295" i="2"/>
  <c r="Q295" i="2" s="1"/>
  <c r="P433" i="2"/>
  <c r="Q433" i="2"/>
  <c r="Q296" i="2"/>
  <c r="P296" i="2"/>
  <c r="P142" i="2"/>
  <c r="Q142" i="2" s="1"/>
  <c r="B35" i="4"/>
  <c r="B35" i="3"/>
  <c r="P13" i="2"/>
  <c r="E15" i="3" s="1"/>
  <c r="P302" i="2"/>
  <c r="Q302" i="2" s="1"/>
  <c r="B9" i="3"/>
  <c r="B34" i="3"/>
  <c r="E14" i="4"/>
  <c r="B24" i="4"/>
  <c r="P7" i="2"/>
  <c r="Q186" i="2"/>
  <c r="P186" i="2"/>
  <c r="B6" i="3"/>
  <c r="E26" i="3" l="1"/>
  <c r="Q34" i="2"/>
  <c r="Q31" i="2"/>
  <c r="E9" i="3"/>
  <c r="F9" i="3" s="1"/>
  <c r="D34" i="3"/>
  <c r="E34" i="3" s="1"/>
  <c r="F14" i="4"/>
  <c r="G9" i="3"/>
  <c r="D9" i="3"/>
  <c r="F10" i="4"/>
  <c r="F16" i="3"/>
  <c r="G16" i="3" s="1"/>
  <c r="I40" i="4"/>
  <c r="E7" i="3"/>
  <c r="F7" i="3" s="1"/>
  <c r="I39" i="4"/>
  <c r="F15" i="3"/>
  <c r="G15" i="3" s="1"/>
  <c r="E8" i="3"/>
  <c r="F8" i="3" s="1"/>
  <c r="F13" i="4"/>
  <c r="D42" i="3"/>
  <c r="E42" i="3" s="1"/>
  <c r="F42" i="3" s="1"/>
  <c r="E6" i="3"/>
  <c r="E10" i="3" s="1"/>
  <c r="Q26" i="2"/>
  <c r="D41" i="3"/>
  <c r="E41" i="3" s="1"/>
  <c r="D37" i="3"/>
  <c r="E37" i="3" s="1"/>
  <c r="Q7" i="2"/>
  <c r="E39" i="3"/>
  <c r="E17" i="3"/>
  <c r="F17" i="3" s="1"/>
  <c r="G17" i="3" s="1"/>
  <c r="D38" i="3"/>
  <c r="E38" i="3" s="1"/>
  <c r="F38" i="3" s="1"/>
  <c r="F27" i="3"/>
  <c r="B17" i="4"/>
  <c r="Q5" i="2"/>
  <c r="E25" i="3" s="1"/>
  <c r="E40" i="3"/>
  <c r="G7" i="3"/>
  <c r="D7" i="3"/>
  <c r="G8" i="3"/>
  <c r="D8" i="3"/>
  <c r="Q13" i="2"/>
  <c r="E36" i="3"/>
  <c r="B28" i="3"/>
  <c r="I38" i="4"/>
  <c r="G5" i="3"/>
  <c r="F5" i="3"/>
  <c r="B10" i="3"/>
  <c r="D5" i="3"/>
  <c r="G6" i="3"/>
  <c r="D6" i="3"/>
  <c r="F11" i="4"/>
  <c r="E18" i="3"/>
  <c r="F18" i="3" s="1"/>
  <c r="G18" i="3" s="1"/>
  <c r="D33" i="3"/>
  <c r="E33" i="3" s="1"/>
  <c r="F25" i="3"/>
  <c r="D35" i="3"/>
  <c r="E35" i="3" s="1"/>
  <c r="C5" i="4"/>
  <c r="E19" i="3"/>
  <c r="F19" i="3" s="1"/>
  <c r="G19" i="3" s="1"/>
  <c r="I41" i="4"/>
  <c r="F35" i="3" l="1"/>
  <c r="F40" i="3"/>
  <c r="F33" i="3"/>
  <c r="F39" i="3"/>
  <c r="F37" i="3"/>
  <c r="F34" i="3"/>
  <c r="F41" i="3"/>
  <c r="F36" i="3"/>
  <c r="E27" i="3"/>
  <c r="F6" i="3"/>
  <c r="F10" i="3"/>
  <c r="D10" i="3"/>
  <c r="D26" i="3"/>
  <c r="D25" i="3"/>
</calcChain>
</file>

<file path=xl/sharedStrings.xml><?xml version="1.0" encoding="utf-8"?>
<sst xmlns="http://schemas.openxmlformats.org/spreadsheetml/2006/main" count="3184" uniqueCount="676">
  <si>
    <t>PROYECTO FINAL - ANÁLISIS DE VENTAS RETAIL 2024</t>
  </si>
  <si>
    <t>INFORMACIÓN DEL PROYECTO</t>
  </si>
  <si>
    <t>Autor:</t>
  </si>
  <si>
    <t>Joseph (Senior Sales Manager)</t>
  </si>
  <si>
    <t>Fecha de elaboración:</t>
  </si>
  <si>
    <t>16/01/2026</t>
  </si>
  <si>
    <t>Dataset:</t>
  </si>
  <si>
    <t>Ventas Retail - 500 transacciones (Ene-Dic 2024)</t>
  </si>
  <si>
    <t>PREGUNTAS DE NEGOCIO ANALIZADAS</t>
  </si>
  <si>
    <t>1.</t>
  </si>
  <si>
    <t>¿Cuál es la tendencia de ventas por región a lo largo del año?</t>
  </si>
  <si>
    <t>2.</t>
  </si>
  <si>
    <t>¿Qué categorías de productos generan mayor rentabilidad?</t>
  </si>
  <si>
    <t>3.</t>
  </si>
  <si>
    <t>¿Cuál es el desempeño comparativo de los canales de venta?</t>
  </si>
  <si>
    <t>4.</t>
  </si>
  <si>
    <t>¿Qué vendedores tienen mejor performance (ventas vs margen)?</t>
  </si>
  <si>
    <t>5.</t>
  </si>
  <si>
    <t>¿Cómo impactan los descuentos en el margen de ganancia?</t>
  </si>
  <si>
    <t>6.</t>
  </si>
  <si>
    <t>¿Cuáles son los productos estrella por categoría?</t>
  </si>
  <si>
    <t>METODOLOGÍA DE ANÁLISIS</t>
  </si>
  <si>
    <t>Limpieza de datos:</t>
  </si>
  <si>
    <t>Estandarización de formatos, validación de rangos, eliminación de duplicados</t>
  </si>
  <si>
    <t>Normalización:</t>
  </si>
  <si>
    <t>Cálculo de métricas derivadas (Subtotal, Total, Margen, % Margen)</t>
  </si>
  <si>
    <t>Análisis:</t>
  </si>
  <si>
    <t>Tablas dinámicas con segmentación múltiple, fórmulas condicionales</t>
  </si>
  <si>
    <t>Visualización:</t>
  </si>
  <si>
    <t>Gráficos dinámicos vinculados a tablas pivot</t>
  </si>
  <si>
    <t>FÓRMULAS AVANZADAS UTILIZADAS</t>
  </si>
  <si>
    <t>SUMIFS:</t>
  </si>
  <si>
    <t>Suma condicional múltiple para totales por región/categoría</t>
  </si>
  <si>
    <t>AVERAGEIFS:</t>
  </si>
  <si>
    <t>Promedio condicional para métricas de rendimiento</t>
  </si>
  <si>
    <t>COUNTIFS:</t>
  </si>
  <si>
    <t>Conteo condicional para análisis de frecuencia</t>
  </si>
  <si>
    <t>INDEX/MATCH:</t>
  </si>
  <si>
    <t>Búsqueda avanzada para ranking de productos</t>
  </si>
  <si>
    <t>IF anidados:</t>
  </si>
  <si>
    <t>Clasificación de rendimiento (Alto/Medio/Bajo)</t>
  </si>
  <si>
    <t>XLOOKUP:</t>
  </si>
  <si>
    <t>Búsqueda bidireccional para dashboard interactivo</t>
  </si>
  <si>
    <t>ESTRUCTURA DEL ARCHIVO</t>
  </si>
  <si>
    <t>Hoja 1:</t>
  </si>
  <si>
    <t>Documentación - Resumen metodológico y preguntas de análisis</t>
  </si>
  <si>
    <t>Hoja 2:</t>
  </si>
  <si>
    <t>Datos - Dataset completo con validaciones</t>
  </si>
  <si>
    <t>Hoja 3:</t>
  </si>
  <si>
    <t>Análisis - Tablas resumen con fórmulas avanzadas</t>
  </si>
  <si>
    <t>Hoja 4:</t>
  </si>
  <si>
    <t>Dashboard - Panel interactivo con KPIs y gráficos</t>
  </si>
  <si>
    <t>HALLAZGOS CLAVE (se actualizan con los datos)</t>
  </si>
  <si>
    <t>ID_Transaccion</t>
  </si>
  <si>
    <t>Fecha</t>
  </si>
  <si>
    <t>Region</t>
  </si>
  <si>
    <t>Categoria</t>
  </si>
  <si>
    <t>Producto</t>
  </si>
  <si>
    <t>Canal</t>
  </si>
  <si>
    <t>Vendedor</t>
  </si>
  <si>
    <t>Cantidad</t>
  </si>
  <si>
    <t>Precio_Unitario</t>
  </si>
  <si>
    <t>Descuento</t>
  </si>
  <si>
    <t>Costo_Unitario</t>
  </si>
  <si>
    <t>Subtotal</t>
  </si>
  <si>
    <t>Descuento_Valor</t>
  </si>
  <si>
    <t>Total_Venta</t>
  </si>
  <si>
    <t>Costo_Total</t>
  </si>
  <si>
    <t>Margen</t>
  </si>
  <si>
    <t>Margen_Pct</t>
  </si>
  <si>
    <t>TRX-0001</t>
  </si>
  <si>
    <t>Centro</t>
  </si>
  <si>
    <t>Electrónica</t>
  </si>
  <si>
    <t>Laptop</t>
  </si>
  <si>
    <t>Tienda Física</t>
  </si>
  <si>
    <t>Juan Martínez</t>
  </si>
  <si>
    <t>TRX-0002</t>
  </si>
  <si>
    <t>Norte</t>
  </si>
  <si>
    <t>TRX-0003</t>
  </si>
  <si>
    <t>Sur</t>
  </si>
  <si>
    <t>Deportes</t>
  </si>
  <si>
    <t>Zapatillas</t>
  </si>
  <si>
    <t>E-commerce</t>
  </si>
  <si>
    <t>Andrés Mora</t>
  </si>
  <si>
    <t>TRX-0004</t>
  </si>
  <si>
    <t>Hogar</t>
  </si>
  <si>
    <t>Lámpara</t>
  </si>
  <si>
    <t>Pedro Ramírez</t>
  </si>
  <si>
    <t>TRX-0005</t>
  </si>
  <si>
    <t>Yoga Mat</t>
  </si>
  <si>
    <t>Marketplace</t>
  </si>
  <si>
    <t>Diego Hernández</t>
  </si>
  <si>
    <t>TRX-0006</t>
  </si>
  <si>
    <t>Oeste</t>
  </si>
  <si>
    <t>Carlos López</t>
  </si>
  <si>
    <t>TRX-0007</t>
  </si>
  <si>
    <t>Auriculares</t>
  </si>
  <si>
    <t>TRX-0008</t>
  </si>
  <si>
    <t>TV Smart</t>
  </si>
  <si>
    <t>TRX-0009</t>
  </si>
  <si>
    <t>Sofá</t>
  </si>
  <si>
    <t>TRX-0010</t>
  </si>
  <si>
    <t>Este</t>
  </si>
  <si>
    <t>Mesa</t>
  </si>
  <si>
    <t>TRX-0011</t>
  </si>
  <si>
    <t>TRX-0012</t>
  </si>
  <si>
    <t>María Rodríguez</t>
  </si>
  <si>
    <t>TRX-0013</t>
  </si>
  <si>
    <t>Alimentos</t>
  </si>
  <si>
    <t>Cereal</t>
  </si>
  <si>
    <t>Ana García</t>
  </si>
  <si>
    <t>TRX-0014</t>
  </si>
  <si>
    <t>TRX-0015</t>
  </si>
  <si>
    <t>Bicicleta</t>
  </si>
  <si>
    <t>Valentina Cruz</t>
  </si>
  <si>
    <t>TRX-0016</t>
  </si>
  <si>
    <t>TRX-0017</t>
  </si>
  <si>
    <t>Ropa</t>
  </si>
  <si>
    <t>Zapatos</t>
  </si>
  <si>
    <t>TRX-0018</t>
  </si>
  <si>
    <t>TRX-0019</t>
  </si>
  <si>
    <t>Vestido</t>
  </si>
  <si>
    <t>TRX-0020</t>
  </si>
  <si>
    <t>Tablet</t>
  </si>
  <si>
    <t>TRX-0021</t>
  </si>
  <si>
    <t>Smartphone</t>
  </si>
  <si>
    <t>TRX-0022</t>
  </si>
  <si>
    <t>TRX-0023</t>
  </si>
  <si>
    <t>Pasta</t>
  </si>
  <si>
    <t>TRX-0024</t>
  </si>
  <si>
    <t>TRX-0025</t>
  </si>
  <si>
    <t>Camisa</t>
  </si>
  <si>
    <t>TRX-0026</t>
  </si>
  <si>
    <t>Pantalón</t>
  </si>
  <si>
    <t>TRX-0027</t>
  </si>
  <si>
    <t>Sofia Torres</t>
  </si>
  <si>
    <t>TRX-0028</t>
  </si>
  <si>
    <t>TRX-0029</t>
  </si>
  <si>
    <t>Balón</t>
  </si>
  <si>
    <t>TRX-0030</t>
  </si>
  <si>
    <t>Chaqueta</t>
  </si>
  <si>
    <t>TRX-0031</t>
  </si>
  <si>
    <t>Laura Sánchez</t>
  </si>
  <si>
    <t>TRX-0032</t>
  </si>
  <si>
    <t>TRX-0033</t>
  </si>
  <si>
    <t>TRX-0034</t>
  </si>
  <si>
    <t>TRX-0035</t>
  </si>
  <si>
    <t>TRX-0036</t>
  </si>
  <si>
    <t>TRX-0037</t>
  </si>
  <si>
    <t>TRX-0038</t>
  </si>
  <si>
    <t>TRX-0039</t>
  </si>
  <si>
    <t>TRX-0040</t>
  </si>
  <si>
    <t>TRX-0041</t>
  </si>
  <si>
    <t>TRX-0042</t>
  </si>
  <si>
    <t>TRX-0043</t>
  </si>
  <si>
    <t>TRX-0044</t>
  </si>
  <si>
    <t>TRX-0045</t>
  </si>
  <si>
    <t>TRX-0046</t>
  </si>
  <si>
    <t>TRX-0047</t>
  </si>
  <si>
    <t>Pesas</t>
  </si>
  <si>
    <t>TRX-0048</t>
  </si>
  <si>
    <t>TRX-0049</t>
  </si>
  <si>
    <t>Café</t>
  </si>
  <si>
    <t>TRX-0050</t>
  </si>
  <si>
    <t>TRX-0051</t>
  </si>
  <si>
    <t>TRX-0052</t>
  </si>
  <si>
    <t>TRX-0053</t>
  </si>
  <si>
    <t>TRX-0054</t>
  </si>
  <si>
    <t>TRX-0055</t>
  </si>
  <si>
    <t>TRX-0056</t>
  </si>
  <si>
    <t>TRX-0057</t>
  </si>
  <si>
    <t>TRX-0058</t>
  </si>
  <si>
    <t>TRX-0059</t>
  </si>
  <si>
    <t>Alfombra</t>
  </si>
  <si>
    <t>TRX-0060</t>
  </si>
  <si>
    <t>TRX-0061</t>
  </si>
  <si>
    <t>TRX-0062</t>
  </si>
  <si>
    <t>Arroz</t>
  </si>
  <si>
    <t>TRX-0063</t>
  </si>
  <si>
    <t>TRX-0064</t>
  </si>
  <si>
    <t>TRX-0065</t>
  </si>
  <si>
    <t>TRX-0066</t>
  </si>
  <si>
    <t>TRX-0067</t>
  </si>
  <si>
    <t>TRX-0068</t>
  </si>
  <si>
    <t>TRX-0069</t>
  </si>
  <si>
    <t>TRX-0070</t>
  </si>
  <si>
    <t>TRX-0071</t>
  </si>
  <si>
    <t>Cortinas</t>
  </si>
  <si>
    <t>TRX-0072</t>
  </si>
  <si>
    <t>TRX-0073</t>
  </si>
  <si>
    <t>TRX-0074</t>
  </si>
  <si>
    <t>TRX-0075</t>
  </si>
  <si>
    <t>TRX-0076</t>
  </si>
  <si>
    <t>TRX-0077</t>
  </si>
  <si>
    <t>TRX-0078</t>
  </si>
  <si>
    <t>TRX-0079</t>
  </si>
  <si>
    <t>TRX-0080</t>
  </si>
  <si>
    <t>TRX-0081</t>
  </si>
  <si>
    <t>TRX-0082</t>
  </si>
  <si>
    <t>TRX-0083</t>
  </si>
  <si>
    <t>Aceite</t>
  </si>
  <si>
    <t>TRX-0084</t>
  </si>
  <si>
    <t>TRX-0085</t>
  </si>
  <si>
    <t>TRX-0086</t>
  </si>
  <si>
    <t>TRX-0087</t>
  </si>
  <si>
    <t>TRX-0088</t>
  </si>
  <si>
    <t>TRX-0089</t>
  </si>
  <si>
    <t>TRX-0090</t>
  </si>
  <si>
    <t>TRX-0091</t>
  </si>
  <si>
    <t>TRX-0092</t>
  </si>
  <si>
    <t>TRX-0093</t>
  </si>
  <si>
    <t>TRX-0094</t>
  </si>
  <si>
    <t>TRX-0095</t>
  </si>
  <si>
    <t>TRX-0096</t>
  </si>
  <si>
    <t>TRX-0097</t>
  </si>
  <si>
    <t>TRX-0098</t>
  </si>
  <si>
    <t>TRX-0099</t>
  </si>
  <si>
    <t>TRX-0100</t>
  </si>
  <si>
    <t>TRX-0101</t>
  </si>
  <si>
    <t>TRX-0102</t>
  </si>
  <si>
    <t>TRX-0103</t>
  </si>
  <si>
    <t>TRX-0104</t>
  </si>
  <si>
    <t>TRX-0105</t>
  </si>
  <si>
    <t>TRX-0106</t>
  </si>
  <si>
    <t>TRX-0107</t>
  </si>
  <si>
    <t>TRX-0108</t>
  </si>
  <si>
    <t>TRX-0109</t>
  </si>
  <si>
    <t>TRX-0110</t>
  </si>
  <si>
    <t>TRX-0111</t>
  </si>
  <si>
    <t>TRX-0112</t>
  </si>
  <si>
    <t>TRX-0113</t>
  </si>
  <si>
    <t>TRX-0114</t>
  </si>
  <si>
    <t>TRX-0115</t>
  </si>
  <si>
    <t>TRX-0116</t>
  </si>
  <si>
    <t>TRX-0117</t>
  </si>
  <si>
    <t>TRX-0118</t>
  </si>
  <si>
    <t>TRX-0119</t>
  </si>
  <si>
    <t>TRX-0120</t>
  </si>
  <si>
    <t>TRX-0121</t>
  </si>
  <si>
    <t>TRX-0122</t>
  </si>
  <si>
    <t>TRX-0123</t>
  </si>
  <si>
    <t>TRX-0124</t>
  </si>
  <si>
    <t>TRX-0125</t>
  </si>
  <si>
    <t>TRX-0126</t>
  </si>
  <si>
    <t>TRX-0127</t>
  </si>
  <si>
    <t>TRX-0128</t>
  </si>
  <si>
    <t>TRX-0129</t>
  </si>
  <si>
    <t>TRX-0130</t>
  </si>
  <si>
    <t>TRX-0131</t>
  </si>
  <si>
    <t>TRX-0132</t>
  </si>
  <si>
    <t>TRX-0133</t>
  </si>
  <si>
    <t>TRX-0134</t>
  </si>
  <si>
    <t>TRX-0135</t>
  </si>
  <si>
    <t>TRX-0136</t>
  </si>
  <si>
    <t>TRX-0137</t>
  </si>
  <si>
    <t>TRX-0138</t>
  </si>
  <si>
    <t>TRX-0139</t>
  </si>
  <si>
    <t>TRX-0140</t>
  </si>
  <si>
    <t>TRX-0141</t>
  </si>
  <si>
    <t>TRX-0142</t>
  </si>
  <si>
    <t>TRX-0143</t>
  </si>
  <si>
    <t>TRX-0144</t>
  </si>
  <si>
    <t>TRX-0145</t>
  </si>
  <si>
    <t>TRX-0146</t>
  </si>
  <si>
    <t>TRX-0147</t>
  </si>
  <si>
    <t>TRX-0148</t>
  </si>
  <si>
    <t>TRX-0149</t>
  </si>
  <si>
    <t>TRX-0150</t>
  </si>
  <si>
    <t>TRX-0151</t>
  </si>
  <si>
    <t>TRX-0152</t>
  </si>
  <si>
    <t>TRX-0153</t>
  </si>
  <si>
    <t>TRX-0154</t>
  </si>
  <si>
    <t>TRX-0155</t>
  </si>
  <si>
    <t>TRX-0156</t>
  </si>
  <si>
    <t>TRX-0157</t>
  </si>
  <si>
    <t>TRX-0158</t>
  </si>
  <si>
    <t>TRX-0159</t>
  </si>
  <si>
    <t>TRX-0160</t>
  </si>
  <si>
    <t>TRX-0161</t>
  </si>
  <si>
    <t>TRX-0162</t>
  </si>
  <si>
    <t>TRX-0163</t>
  </si>
  <si>
    <t>TRX-0164</t>
  </si>
  <si>
    <t>TRX-0165</t>
  </si>
  <si>
    <t>TRX-0166</t>
  </si>
  <si>
    <t>TRX-0167</t>
  </si>
  <si>
    <t>TRX-0168</t>
  </si>
  <si>
    <t>TRX-0169</t>
  </si>
  <si>
    <t>TRX-0170</t>
  </si>
  <si>
    <t>TRX-0171</t>
  </si>
  <si>
    <t>TRX-0172</t>
  </si>
  <si>
    <t>TRX-0173</t>
  </si>
  <si>
    <t>TRX-0174</t>
  </si>
  <si>
    <t>TRX-0175</t>
  </si>
  <si>
    <t>TRX-0176</t>
  </si>
  <si>
    <t>TRX-0177</t>
  </si>
  <si>
    <t>TRX-0178</t>
  </si>
  <si>
    <t>TRX-0179</t>
  </si>
  <si>
    <t>TRX-0180</t>
  </si>
  <si>
    <t>TRX-0181</t>
  </si>
  <si>
    <t>TRX-0182</t>
  </si>
  <si>
    <t>TRX-0183</t>
  </si>
  <si>
    <t>TRX-0184</t>
  </si>
  <si>
    <t>TRX-0185</t>
  </si>
  <si>
    <t>TRX-0186</t>
  </si>
  <si>
    <t>TRX-0187</t>
  </si>
  <si>
    <t>TRX-0188</t>
  </si>
  <si>
    <t>TRX-0189</t>
  </si>
  <si>
    <t>TRX-0190</t>
  </si>
  <si>
    <t>TRX-0191</t>
  </si>
  <si>
    <t>TRX-0192</t>
  </si>
  <si>
    <t>TRX-0193</t>
  </si>
  <si>
    <t>TRX-0194</t>
  </si>
  <si>
    <t>TRX-0195</t>
  </si>
  <si>
    <t>TRX-0196</t>
  </si>
  <si>
    <t>TRX-0197</t>
  </si>
  <si>
    <t>TRX-0198</t>
  </si>
  <si>
    <t>TRX-0199</t>
  </si>
  <si>
    <t>TRX-0200</t>
  </si>
  <si>
    <t>TRX-0201</t>
  </si>
  <si>
    <t>TRX-0202</t>
  </si>
  <si>
    <t>TRX-0203</t>
  </si>
  <si>
    <t>TRX-0204</t>
  </si>
  <si>
    <t>TRX-0205</t>
  </si>
  <si>
    <t>TRX-0206</t>
  </si>
  <si>
    <t>TRX-0207</t>
  </si>
  <si>
    <t>TRX-0208</t>
  </si>
  <si>
    <t>TRX-0209</t>
  </si>
  <si>
    <t>TRX-0210</t>
  </si>
  <si>
    <t>TRX-0211</t>
  </si>
  <si>
    <t>TRX-0212</t>
  </si>
  <si>
    <t>TRX-0213</t>
  </si>
  <si>
    <t>TRX-0214</t>
  </si>
  <si>
    <t>TRX-0215</t>
  </si>
  <si>
    <t>TRX-0216</t>
  </si>
  <si>
    <t>TRX-0217</t>
  </si>
  <si>
    <t>TRX-0218</t>
  </si>
  <si>
    <t>TRX-0219</t>
  </si>
  <si>
    <t>TRX-0220</t>
  </si>
  <si>
    <t>TRX-0221</t>
  </si>
  <si>
    <t>TRX-0222</t>
  </si>
  <si>
    <t>TRX-0223</t>
  </si>
  <si>
    <t>TRX-0224</t>
  </si>
  <si>
    <t>TRX-0225</t>
  </si>
  <si>
    <t>TRX-0226</t>
  </si>
  <si>
    <t>TRX-0227</t>
  </si>
  <si>
    <t>TRX-0228</t>
  </si>
  <si>
    <t>TRX-0229</t>
  </si>
  <si>
    <t>TRX-0230</t>
  </si>
  <si>
    <t>TRX-0231</t>
  </si>
  <si>
    <t>TRX-0232</t>
  </si>
  <si>
    <t>TRX-0233</t>
  </si>
  <si>
    <t>TRX-0234</t>
  </si>
  <si>
    <t>TRX-0235</t>
  </si>
  <si>
    <t>TRX-0236</t>
  </si>
  <si>
    <t>TRX-0237</t>
  </si>
  <si>
    <t>TRX-0238</t>
  </si>
  <si>
    <t>TRX-0239</t>
  </si>
  <si>
    <t>TRX-0240</t>
  </si>
  <si>
    <t>TRX-0241</t>
  </si>
  <si>
    <t>TRX-0242</t>
  </si>
  <si>
    <t>TRX-0243</t>
  </si>
  <si>
    <t>TRX-0244</t>
  </si>
  <si>
    <t>TRX-0245</t>
  </si>
  <si>
    <t>TRX-0246</t>
  </si>
  <si>
    <t>TRX-0247</t>
  </si>
  <si>
    <t>TRX-0248</t>
  </si>
  <si>
    <t>TRX-0249</t>
  </si>
  <si>
    <t>TRX-0250</t>
  </si>
  <si>
    <t>TRX-0251</t>
  </si>
  <si>
    <t>TRX-0252</t>
  </si>
  <si>
    <t>TRX-0253</t>
  </si>
  <si>
    <t>TRX-0254</t>
  </si>
  <si>
    <t>TRX-0255</t>
  </si>
  <si>
    <t>TRX-0256</t>
  </si>
  <si>
    <t>TRX-0257</t>
  </si>
  <si>
    <t>TRX-0258</t>
  </si>
  <si>
    <t>TRX-0259</t>
  </si>
  <si>
    <t>TRX-0260</t>
  </si>
  <si>
    <t>TRX-0261</t>
  </si>
  <si>
    <t>TRX-0262</t>
  </si>
  <si>
    <t>TRX-0263</t>
  </si>
  <si>
    <t>TRX-0264</t>
  </si>
  <si>
    <t>TRX-0265</t>
  </si>
  <si>
    <t>TRX-0266</t>
  </si>
  <si>
    <t>TRX-0267</t>
  </si>
  <si>
    <t>TRX-0268</t>
  </si>
  <si>
    <t>TRX-0269</t>
  </si>
  <si>
    <t>TRX-0270</t>
  </si>
  <si>
    <t>TRX-0271</t>
  </si>
  <si>
    <t>TRX-0272</t>
  </si>
  <si>
    <t>TRX-0273</t>
  </si>
  <si>
    <t>TRX-0274</t>
  </si>
  <si>
    <t>TRX-0275</t>
  </si>
  <si>
    <t>TRX-0276</t>
  </si>
  <si>
    <t>TRX-0277</t>
  </si>
  <si>
    <t>TRX-0278</t>
  </si>
  <si>
    <t>TRX-0279</t>
  </si>
  <si>
    <t>TRX-0280</t>
  </si>
  <si>
    <t>TRX-0281</t>
  </si>
  <si>
    <t>TRX-0282</t>
  </si>
  <si>
    <t>TRX-0283</t>
  </si>
  <si>
    <t>TRX-0284</t>
  </si>
  <si>
    <t>TRX-0285</t>
  </si>
  <si>
    <t>TRX-0286</t>
  </si>
  <si>
    <t>TRX-0287</t>
  </si>
  <si>
    <t>TRX-0288</t>
  </si>
  <si>
    <t>TRX-0289</t>
  </si>
  <si>
    <t>TRX-0290</t>
  </si>
  <si>
    <t>TRX-0291</t>
  </si>
  <si>
    <t>TRX-0292</t>
  </si>
  <si>
    <t>TRX-0293</t>
  </si>
  <si>
    <t>TRX-0294</t>
  </si>
  <si>
    <t>TRX-0295</t>
  </si>
  <si>
    <t>TRX-0296</t>
  </si>
  <si>
    <t>TRX-0297</t>
  </si>
  <si>
    <t>TRX-0298</t>
  </si>
  <si>
    <t>TRX-0299</t>
  </si>
  <si>
    <t>TRX-0300</t>
  </si>
  <si>
    <t>TRX-0301</t>
  </si>
  <si>
    <t>TRX-0302</t>
  </si>
  <si>
    <t>TRX-0303</t>
  </si>
  <si>
    <t>TRX-0304</t>
  </si>
  <si>
    <t>TRX-0305</t>
  </si>
  <si>
    <t>TRX-0306</t>
  </si>
  <si>
    <t>TRX-0307</t>
  </si>
  <si>
    <t>TRX-0308</t>
  </si>
  <si>
    <t>TRX-0309</t>
  </si>
  <si>
    <t>TRX-0310</t>
  </si>
  <si>
    <t>TRX-0311</t>
  </si>
  <si>
    <t>TRX-0312</t>
  </si>
  <si>
    <t>TRX-0313</t>
  </si>
  <si>
    <t>TRX-0314</t>
  </si>
  <si>
    <t>TRX-0315</t>
  </si>
  <si>
    <t>TRX-0316</t>
  </si>
  <si>
    <t>TRX-0317</t>
  </si>
  <si>
    <t>TRX-0318</t>
  </si>
  <si>
    <t>TRX-0319</t>
  </si>
  <si>
    <t>TRX-0320</t>
  </si>
  <si>
    <t>TRX-0321</t>
  </si>
  <si>
    <t>TRX-0322</t>
  </si>
  <si>
    <t>TRX-0323</t>
  </si>
  <si>
    <t>TRX-0324</t>
  </si>
  <si>
    <t>TRX-0325</t>
  </si>
  <si>
    <t>TRX-0326</t>
  </si>
  <si>
    <t>TRX-0327</t>
  </si>
  <si>
    <t>TRX-0328</t>
  </si>
  <si>
    <t>TRX-0329</t>
  </si>
  <si>
    <t>TRX-0330</t>
  </si>
  <si>
    <t>TRX-0331</t>
  </si>
  <si>
    <t>TRX-0332</t>
  </si>
  <si>
    <t>TRX-0333</t>
  </si>
  <si>
    <t>TRX-0334</t>
  </si>
  <si>
    <t>TRX-0335</t>
  </si>
  <si>
    <t>TRX-0336</t>
  </si>
  <si>
    <t>TRX-0337</t>
  </si>
  <si>
    <t>TRX-0338</t>
  </si>
  <si>
    <t>TRX-0339</t>
  </si>
  <si>
    <t>TRX-0340</t>
  </si>
  <si>
    <t>TRX-0341</t>
  </si>
  <si>
    <t>TRX-0342</t>
  </si>
  <si>
    <t>TRX-0343</t>
  </si>
  <si>
    <t>TRX-0344</t>
  </si>
  <si>
    <t>TRX-0345</t>
  </si>
  <si>
    <t>TRX-0346</t>
  </si>
  <si>
    <t>TRX-0347</t>
  </si>
  <si>
    <t>TRX-0348</t>
  </si>
  <si>
    <t>TRX-0349</t>
  </si>
  <si>
    <t>TRX-0350</t>
  </si>
  <si>
    <t>TRX-0351</t>
  </si>
  <si>
    <t>TRX-0352</t>
  </si>
  <si>
    <t>TRX-0353</t>
  </si>
  <si>
    <t>TRX-0354</t>
  </si>
  <si>
    <t>TRX-0355</t>
  </si>
  <si>
    <t>TRX-0356</t>
  </si>
  <si>
    <t>TRX-0357</t>
  </si>
  <si>
    <t>TRX-0358</t>
  </si>
  <si>
    <t>TRX-0359</t>
  </si>
  <si>
    <t>TRX-0360</t>
  </si>
  <si>
    <t>TRX-0361</t>
  </si>
  <si>
    <t>TRX-0362</t>
  </si>
  <si>
    <t>TRX-0363</t>
  </si>
  <si>
    <t>TRX-0364</t>
  </si>
  <si>
    <t>TRX-0365</t>
  </si>
  <si>
    <t>TRX-0366</t>
  </si>
  <si>
    <t>TRX-0367</t>
  </si>
  <si>
    <t>TRX-0368</t>
  </si>
  <si>
    <t>TRX-0369</t>
  </si>
  <si>
    <t>TRX-0370</t>
  </si>
  <si>
    <t>TRX-0371</t>
  </si>
  <si>
    <t>TRX-0372</t>
  </si>
  <si>
    <t>TRX-0373</t>
  </si>
  <si>
    <t>TRX-0374</t>
  </si>
  <si>
    <t>TRX-0375</t>
  </si>
  <si>
    <t>TRX-0376</t>
  </si>
  <si>
    <t>TRX-0377</t>
  </si>
  <si>
    <t>TRX-0378</t>
  </si>
  <si>
    <t>TRX-0379</t>
  </si>
  <si>
    <t>TRX-0380</t>
  </si>
  <si>
    <t>TRX-0381</t>
  </si>
  <si>
    <t>TRX-0382</t>
  </si>
  <si>
    <t>TRX-0383</t>
  </si>
  <si>
    <t>TRX-0384</t>
  </si>
  <si>
    <t>TRX-0385</t>
  </si>
  <si>
    <t>TRX-0386</t>
  </si>
  <si>
    <t>TRX-0387</t>
  </si>
  <si>
    <t>TRX-0388</t>
  </si>
  <si>
    <t>TRX-0389</t>
  </si>
  <si>
    <t>TRX-0390</t>
  </si>
  <si>
    <t>TRX-0391</t>
  </si>
  <si>
    <t>TRX-0392</t>
  </si>
  <si>
    <t>TRX-0393</t>
  </si>
  <si>
    <t>TRX-0394</t>
  </si>
  <si>
    <t>TRX-0395</t>
  </si>
  <si>
    <t>TRX-0396</t>
  </si>
  <si>
    <t>TRX-0397</t>
  </si>
  <si>
    <t>TRX-0398</t>
  </si>
  <si>
    <t>TRX-0399</t>
  </si>
  <si>
    <t>TRX-0400</t>
  </si>
  <si>
    <t>TRX-0401</t>
  </si>
  <si>
    <t>TRX-0402</t>
  </si>
  <si>
    <t>TRX-0403</t>
  </si>
  <si>
    <t>TRX-0404</t>
  </si>
  <si>
    <t>TRX-0405</t>
  </si>
  <si>
    <t>TRX-0406</t>
  </si>
  <si>
    <t>TRX-0407</t>
  </si>
  <si>
    <t>TRX-0408</t>
  </si>
  <si>
    <t>TRX-0409</t>
  </si>
  <si>
    <t>TRX-0410</t>
  </si>
  <si>
    <t>TRX-0411</t>
  </si>
  <si>
    <t>TRX-0412</t>
  </si>
  <si>
    <t>TRX-0413</t>
  </si>
  <si>
    <t>TRX-0414</t>
  </si>
  <si>
    <t>TRX-0415</t>
  </si>
  <si>
    <t>TRX-0416</t>
  </si>
  <si>
    <t>TRX-0417</t>
  </si>
  <si>
    <t>TRX-0418</t>
  </si>
  <si>
    <t>TRX-0419</t>
  </si>
  <si>
    <t>TRX-0420</t>
  </si>
  <si>
    <t>TRX-0421</t>
  </si>
  <si>
    <t>TRX-0422</t>
  </si>
  <si>
    <t>TRX-0423</t>
  </si>
  <si>
    <t>TRX-0424</t>
  </si>
  <si>
    <t>TRX-0425</t>
  </si>
  <si>
    <t>TRX-0426</t>
  </si>
  <si>
    <t>TRX-0427</t>
  </si>
  <si>
    <t>TRX-0428</t>
  </si>
  <si>
    <t>TRX-0429</t>
  </si>
  <si>
    <t>TRX-0430</t>
  </si>
  <si>
    <t>TRX-0431</t>
  </si>
  <si>
    <t>TRX-0432</t>
  </si>
  <si>
    <t>TRX-0433</t>
  </si>
  <si>
    <t>TRX-0434</t>
  </si>
  <si>
    <t>TRX-0435</t>
  </si>
  <si>
    <t>TRX-0436</t>
  </si>
  <si>
    <t>TRX-0437</t>
  </si>
  <si>
    <t>TRX-0438</t>
  </si>
  <si>
    <t>TRX-0439</t>
  </si>
  <si>
    <t>TRX-0440</t>
  </si>
  <si>
    <t>TRX-0441</t>
  </si>
  <si>
    <t>TRX-0442</t>
  </si>
  <si>
    <t>TRX-0443</t>
  </si>
  <si>
    <t>TRX-0444</t>
  </si>
  <si>
    <t>TRX-0445</t>
  </si>
  <si>
    <t>TRX-0446</t>
  </si>
  <si>
    <t>TRX-0447</t>
  </si>
  <si>
    <t>TRX-0448</t>
  </si>
  <si>
    <t>TRX-0449</t>
  </si>
  <si>
    <t>TRX-0450</t>
  </si>
  <si>
    <t>TRX-0451</t>
  </si>
  <si>
    <t>TRX-0452</t>
  </si>
  <si>
    <t>TRX-0453</t>
  </si>
  <si>
    <t>TRX-0454</t>
  </si>
  <si>
    <t>TRX-0455</t>
  </si>
  <si>
    <t>TRX-0456</t>
  </si>
  <si>
    <t>TRX-0457</t>
  </si>
  <si>
    <t>TRX-0458</t>
  </si>
  <si>
    <t>TRX-0459</t>
  </si>
  <si>
    <t>TRX-0460</t>
  </si>
  <si>
    <t>TRX-0461</t>
  </si>
  <si>
    <t>TRX-0462</t>
  </si>
  <si>
    <t>TRX-0463</t>
  </si>
  <si>
    <t>TRX-0464</t>
  </si>
  <si>
    <t>TRX-0465</t>
  </si>
  <si>
    <t>TRX-0466</t>
  </si>
  <si>
    <t>TRX-0467</t>
  </si>
  <si>
    <t>TRX-0468</t>
  </si>
  <si>
    <t>TRX-0469</t>
  </si>
  <si>
    <t>TRX-0470</t>
  </si>
  <si>
    <t>TRX-0471</t>
  </si>
  <si>
    <t>TRX-0472</t>
  </si>
  <si>
    <t>TRX-0473</t>
  </si>
  <si>
    <t>TRX-0474</t>
  </si>
  <si>
    <t>TRX-0475</t>
  </si>
  <si>
    <t>TRX-0476</t>
  </si>
  <si>
    <t>TRX-0477</t>
  </si>
  <si>
    <t>TRX-0478</t>
  </si>
  <si>
    <t>TRX-0479</t>
  </si>
  <si>
    <t>TRX-0480</t>
  </si>
  <si>
    <t>TRX-0481</t>
  </si>
  <si>
    <t>TRX-0482</t>
  </si>
  <si>
    <t>TRX-0483</t>
  </si>
  <si>
    <t>TRX-0484</t>
  </si>
  <si>
    <t>TRX-0485</t>
  </si>
  <si>
    <t>TRX-0486</t>
  </si>
  <si>
    <t>TRX-0487</t>
  </si>
  <si>
    <t>TRX-0488</t>
  </si>
  <si>
    <t>TRX-0489</t>
  </si>
  <si>
    <t>TRX-0490</t>
  </si>
  <si>
    <t>TRX-0491</t>
  </si>
  <si>
    <t>TRX-0492</t>
  </si>
  <si>
    <t>TRX-0493</t>
  </si>
  <si>
    <t>TRX-0494</t>
  </si>
  <si>
    <t>TRX-0495</t>
  </si>
  <si>
    <t>TRX-0496</t>
  </si>
  <si>
    <t>TRX-0497</t>
  </si>
  <si>
    <t>TRX-0498</t>
  </si>
  <si>
    <t>TRX-0499</t>
  </si>
  <si>
    <t>TRX-0500</t>
  </si>
  <si>
    <t>ANÁLISIS DETALLADO DE VENTAS</t>
  </si>
  <si>
    <t>1. RESUMEN POR REGIÓN</t>
  </si>
  <si>
    <t>Región</t>
  </si>
  <si>
    <t>Total Ventas</t>
  </si>
  <si>
    <t>Transacciones</t>
  </si>
  <si>
    <t>Ticket Promedio</t>
  </si>
  <si>
    <t>Margen Total</t>
  </si>
  <si>
    <t>% Margen</t>
  </si>
  <si>
    <t>Ranking</t>
  </si>
  <si>
    <t>TOTAL</t>
  </si>
  <si>
    <t>2. RESUMEN POR CATEGORÍA</t>
  </si>
  <si>
    <t>Categoría</t>
  </si>
  <si>
    <t>Unidades</t>
  </si>
  <si>
    <t>Precio Prom.</t>
  </si>
  <si>
    <t>Clasificación</t>
  </si>
  <si>
    <t>3. RESUMEN POR CANAL DE VENTA</t>
  </si>
  <si>
    <t>% del Total</t>
  </si>
  <si>
    <t>Margen Prom.</t>
  </si>
  <si>
    <t>Tendencia</t>
  </si>
  <si>
    <t>4. TOP 10 VENDEDORES</t>
  </si>
  <si>
    <t>Performance</t>
  </si>
  <si>
    <t>DASHBOARD DE VENTAS - ANÁLISIS EJECUTIVO 2024</t>
  </si>
  <si>
    <t>INDICADORES CLAVE (KPIs)</t>
  </si>
  <si>
    <t>% Margen Global</t>
  </si>
  <si>
    <t>Total Transacciones</t>
  </si>
  <si>
    <t>FILTROS INTERACTIVOS</t>
  </si>
  <si>
    <t>VENTAS POR REGIÓN</t>
  </si>
  <si>
    <t>VENTAS POR CATEGORÍA</t>
  </si>
  <si>
    <t>Seleccionar Región:</t>
  </si>
  <si>
    <t>Ventas</t>
  </si>
  <si>
    <t>Seleccionar Categoría:</t>
  </si>
  <si>
    <t>Todas</t>
  </si>
  <si>
    <t>Seleccionar Canal:</t>
  </si>
  <si>
    <t>Todos</t>
  </si>
  <si>
    <t>RESULTADOS SEGÚN FILTROS</t>
  </si>
  <si>
    <t>Métrica</t>
  </si>
  <si>
    <t>Valor</t>
  </si>
  <si>
    <t>Ventas Filtradas</t>
  </si>
  <si>
    <t>Margen Filtrado</t>
  </si>
  <si>
    <t>TENDENCIA MENSUAL DE VENTAS</t>
  </si>
  <si>
    <t>Mes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</si>
  <si>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</si>
  <si>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</si>
  <si>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</si>
  <si>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</si>
  <si>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</si>
  <si>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</si>
  <si>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</si>
  <si>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</si>
  <si>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</si>
  <si>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</si>
  <si>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</si>
  <si>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</si>
  <si>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RESUMEN EJECUTIVO</t>
  </si>
  <si>
    <t>Mejor Región:</t>
  </si>
  <si>
    <t>Mejor Categoría:</t>
  </si>
  <si>
    <t>Canal Líder:</t>
  </si>
  <si>
    <t>Top Vendedor: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</si>
</sst>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.00"/>
    <numFmt numFmtId="166" formatCode="0.0%"/>
  </numFmts>
  <fonts count="7" x14ac:knownFonts="1">
    <font>
      <sz val="11"/>
      <color theme="1"/>
      <name val="Calibri"/>
      <family val="2"/>
      <charset val="1"/>
    </font>
    <font>
      <b/>
      <sz val="16"/>
      <color rgb="FF1F4E79"/>
      <name val="Cambria"/>
      <charset val="1"/>
    </font>
    <font>
      <b/>
      <sz val="12"/>
      <color rgb="FF2E75B6"/>
      <name val="Cambria"/>
      <charset val="1"/>
    </font>
    <font>
      <b/>
      <sz val="11"/>
      <color rgb="FFFFFFFF"/>
      <name val="Cambria"/>
      <charset val="1"/>
    </font>
    <font>
      <b/>
      <sz val="14"/>
      <color rgb="FF1F4E79"/>
      <name val="Cambria"/>
      <charset val="1"/>
    </font>
    <font>
      <b/>
      <sz val="11"/>
      <name val="Cambria"/>
      <charset val="1"/>
    </font>
    <font>
      <b/>
      <sz val="18"/>
      <color rgb="FF1F4E79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D6DCE4"/>
        <bgColor rgb="FFD9D9D9"/>
      </patternFill>
    </fill>
    <fill>
      <patternFill patternType="solid">
        <fgColor rgb="FF1F4E79"/>
        <bgColor rgb="FF003366"/>
      </patternFill>
    </fill>
    <fill>
      <patternFill patternType="solid">
        <fgColor rgb="FFD9E1F2"/>
        <bgColor rgb="FFD6DCE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0" borderId="0" xfId="0" applyFont="1"/>
    <xf numFmtId="0" fontId="4" fillId="0" borderId="0" xfId="0" applyFont="1"/>
    <xf numFmtId="0" fontId="1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0" fillId="0" borderId="1" xfId="0" applyBorder="1"/>
    <xf numFmtId="165" fontId="0" fillId="0" borderId="1" xfId="0" applyNumberFormat="1" applyBorder="1"/>
    <xf numFmtId="3" fontId="0" fillId="0" borderId="1" xfId="0" applyNumberFormat="1" applyBorder="1"/>
    <xf numFmtId="166" fontId="0" fillId="0" borderId="1" xfId="0" applyNumberFormat="1" applyBorder="1"/>
    <xf numFmtId="0" fontId="5" fillId="4" borderId="1" xfId="0" applyFont="1" applyFill="1" applyBorder="1"/>
    <xf numFmtId="165" fontId="0" fillId="4" borderId="1" xfId="0" applyNumberFormat="1" applyFill="1" applyBorder="1"/>
    <xf numFmtId="3" fontId="0" fillId="4" borderId="1" xfId="0" applyNumberFormat="1" applyFill="1" applyBorder="1"/>
    <xf numFmtId="166" fontId="0" fillId="4" borderId="1" xfId="0" applyNumberFormat="1" applyFill="1" applyBorder="1"/>
    <xf numFmtId="0" fontId="0" fillId="4" borderId="1" xfId="0" applyFill="1" applyBorder="1"/>
    <xf numFmtId="0" fontId="3" fillId="3" borderId="0" xfId="0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0" fillId="5" borderId="0" xfId="0" applyFill="1"/>
    <xf numFmtId="0" fontId="3" fillId="3" borderId="1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D9E1F2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F9900"/>
      <rgbColor rgb="FFFF6600"/>
      <rgbColor rgb="FF8064A2"/>
      <rgbColor rgb="FF4F81BD"/>
      <rgbColor rgb="FF003366"/>
      <rgbColor rgb="FF4A7EBB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Ventas por Región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Dashboard!$E$9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Dashboard!$D$10:$D$14</c:f>
              <c:strCache>
                <c:ptCount val="5"/>
                <c:pt idx="0">
                  <c:v>Norte</c:v>
                </c:pt>
                <c:pt idx="1">
                  <c:v>Sur</c:v>
                </c:pt>
                <c:pt idx="2">
                  <c:v>Centro</c:v>
                </c:pt>
                <c:pt idx="3">
                  <c:v>Este</c:v>
                </c:pt>
                <c:pt idx="4">
                  <c:v>Oeste</c:v>
                </c:pt>
              </c:strCache>
            </c:strRef>
          </c:cat>
          <c:val>
            <c:numRef>
              <c:f>Dashboard!$E$10:$E$14</c:f>
              <c:numCache>
                <c:formatCode>\$#,##0.00</c:formatCode>
                <c:ptCount val="5"/>
                <c:pt idx="0">
                  <c:v>100578.20600000001</c:v>
                </c:pt>
                <c:pt idx="1">
                  <c:v>97422.203499999989</c:v>
                </c:pt>
                <c:pt idx="2">
                  <c:v>117794.12500000003</c:v>
                </c:pt>
                <c:pt idx="3">
                  <c:v>96230.390499999921</c:v>
                </c:pt>
                <c:pt idx="4">
                  <c:v>101771.98749999996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E-4FB5-B2E7-6F5C287C8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278625"/>
        <c:axId val="51562030"/>
      </c:barChart>
      <c:catAx>
        <c:axId val="782786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Región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51562030"/>
        <c:crosses val="autoZero"/>
        <c:auto val="1"/>
        <c:lblAlgn val="ctr"/>
        <c:lblOffset val="100"/>
        <c:noMultiLvlLbl val="0"/>
      </c:catAx>
      <c:valAx>
        <c:axId val="515620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Ventas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782786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Distribución por Categoría</a:t>
            </a:r>
          </a:p>
        </c:rich>
      </c:tx>
      <c:layout>
        <c:manualLayout>
          <c:xMode val="edge"/>
          <c:yMode val="edge"/>
          <c:x val="0.27027947145793124"/>
          <c:y val="4.8910455704002466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F0E-4DAE-8528-4CB61556E7C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F0E-4DAE-8528-4CB61556E7C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4F0E-4DAE-8528-4CB61556E7C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4F0E-4DAE-8528-4CB61556E7CA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4F0E-4DAE-8528-4CB61556E7C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PE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F0E-4DAE-8528-4CB61556E7C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PE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F0E-4DAE-8528-4CB61556E7C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PE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F0E-4DAE-8528-4CB61556E7C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PE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4F0E-4DAE-8528-4CB61556E7C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PE"/>
                </a:p>
              </c:txPr>
              <c:dLblPos val="bestFit"/>
              <c:showLegendKey val="1"/>
              <c:showVal val="1"/>
              <c:showCatName val="0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4F0E-4DAE-8528-4CB61556E7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PE"/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Dashboard!$H$10:$H$14</c:f>
              <c:strCache>
                <c:ptCount val="5"/>
                <c:pt idx="0">
                  <c:v>Electrónica</c:v>
                </c:pt>
                <c:pt idx="1">
                  <c:v>Ropa</c:v>
                </c:pt>
                <c:pt idx="2">
                  <c:v>Hogar</c:v>
                </c:pt>
                <c:pt idx="3">
                  <c:v>Alimentos</c:v>
                </c:pt>
                <c:pt idx="4">
                  <c:v>Deportes</c:v>
                </c:pt>
              </c:strCache>
            </c:strRef>
          </c:cat>
          <c:val>
            <c:numRef>
              <c:f>Dashboard!$I$10:$I$14</c:f>
              <c:numCache>
                <c:formatCode>\$#,##0.00</c:formatCode>
                <c:ptCount val="5"/>
                <c:pt idx="0">
                  <c:v>275932.21150000003</c:v>
                </c:pt>
                <c:pt idx="1">
                  <c:v>40405.117999999988</c:v>
                </c:pt>
                <c:pt idx="2">
                  <c:v>112673.2375</c:v>
                </c:pt>
                <c:pt idx="3">
                  <c:v>20967.118000000002</c:v>
                </c:pt>
                <c:pt idx="4">
                  <c:v>63819.22749999995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0E-4DAE-8528-4CB61556E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Tendencia de Ventas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Dashboard!$B$23</c:f>
              <c:strCache>
                <c:ptCount val="1"/>
                <c:pt idx="0">
                  <c:v>Ventas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Dashboard!$A$24:$A$35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Dashboard!$B$24:$B$35</c:f>
              <c:numCache>
                <c:formatCode>\$#,##0.00</c:formatCode>
                <c:ptCount val="12"/>
                <c:pt idx="0">
                  <c:v>40246.023999999983</c:v>
                </c:pt>
                <c:pt idx="1">
                  <c:v>49201.894499999995</c:v>
                </c:pt>
                <c:pt idx="2">
                  <c:v>47641.333499999993</c:v>
                </c:pt>
                <c:pt idx="3">
                  <c:v>56960.09350000001</c:v>
                </c:pt>
                <c:pt idx="4">
                  <c:v>30830.305499999999</c:v>
                </c:pt>
                <c:pt idx="5">
                  <c:v>43807.235000000001</c:v>
                </c:pt>
                <c:pt idx="6">
                  <c:v>50082.689000000006</c:v>
                </c:pt>
                <c:pt idx="7">
                  <c:v>37618.041499999992</c:v>
                </c:pt>
                <c:pt idx="8">
                  <c:v>34991.820499999994</c:v>
                </c:pt>
                <c:pt idx="9">
                  <c:v>53360.238999999994</c:v>
                </c:pt>
                <c:pt idx="10">
                  <c:v>34662.537499999999</c:v>
                </c:pt>
                <c:pt idx="11">
                  <c:v>34394.699000000008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753-498C-B4B1-39A622746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756713"/>
        <c:axId val="80239555"/>
      </c:lineChart>
      <c:catAx>
        <c:axId val="477567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0239555"/>
        <c:crosses val="autoZero"/>
        <c:auto val="1"/>
        <c:lblAlgn val="ctr"/>
        <c:lblOffset val="100"/>
        <c:noMultiLvlLbl val="0"/>
      </c:catAx>
      <c:valAx>
        <c:axId val="802395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Ventas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77567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71280</xdr:rowOff>
    </xdr:from>
    <xdr:to>
      <xdr:col>6</xdr:col>
      <xdr:colOff>966300</xdr:colOff>
      <xdr:row>29</xdr:row>
      <xdr:rowOff>92880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457200</xdr:colOff>
      <xdr:row>14</xdr:row>
      <xdr:rowOff>101760</xdr:rowOff>
    </xdr:from>
    <xdr:to>
      <xdr:col>10</xdr:col>
      <xdr:colOff>541260</xdr:colOff>
      <xdr:row>29</xdr:row>
      <xdr:rowOff>123360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518160</xdr:colOff>
      <xdr:row>35</xdr:row>
      <xdr:rowOff>147480</xdr:rowOff>
    </xdr:from>
    <xdr:to>
      <xdr:col>4</xdr:col>
      <xdr:colOff>512460</xdr:colOff>
      <xdr:row>50</xdr:row>
      <xdr:rowOff>168720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opLeftCell="A19" zoomScaleNormal="100" workbookViewId="0"/>
  </sheetViews>
  <sheetFormatPr defaultColWidth="8.6640625" defaultRowHeight="14.4" x14ac:dyDescent="0.3"/>
  <cols>
    <col min="1" max="1" width="50.88671875" customWidth="1"/>
    <col min="2" max="2" width="70" customWidth="1"/>
  </cols>
  <sheetData>
    <row r="1" spans="1:2" ht="19.5" customHeight="1" x14ac:dyDescent="0.35">
      <c r="A1" s="3" t="s">
        <v>0</v>
      </c>
      <c r="B1" s="3"/>
    </row>
    <row r="3" spans="1:2" ht="15" customHeight="1" x14ac:dyDescent="0.3">
      <c r="A3" s="4" t="s">
        <v>1</v>
      </c>
    </row>
    <row r="4" spans="1:2" ht="15" customHeight="1" x14ac:dyDescent="0.3">
      <c r="A4" t="s">
        <v>2</v>
      </c>
      <c r="B4" t="s">
        <v>3</v>
      </c>
    </row>
    <row r="5" spans="1:2" ht="15" customHeight="1" x14ac:dyDescent="0.3">
      <c r="A5" t="s">
        <v>4</v>
      </c>
      <c r="B5" t="s">
        <v>5</v>
      </c>
    </row>
    <row r="6" spans="1:2" ht="15" customHeight="1" x14ac:dyDescent="0.3">
      <c r="A6" t="s">
        <v>6</v>
      </c>
      <c r="B6" t="s">
        <v>7</v>
      </c>
    </row>
    <row r="8" spans="1:2" ht="15" customHeight="1" x14ac:dyDescent="0.3">
      <c r="A8" s="4" t="s">
        <v>8</v>
      </c>
    </row>
    <row r="9" spans="1:2" ht="15" customHeight="1" x14ac:dyDescent="0.3">
      <c r="A9" t="s">
        <v>9</v>
      </c>
      <c r="B9" t="s">
        <v>10</v>
      </c>
    </row>
    <row r="10" spans="1:2" ht="15" customHeight="1" x14ac:dyDescent="0.3">
      <c r="A10" t="s">
        <v>11</v>
      </c>
      <c r="B10" t="s">
        <v>12</v>
      </c>
    </row>
    <row r="11" spans="1:2" ht="15" customHeight="1" x14ac:dyDescent="0.3">
      <c r="A11" t="s">
        <v>13</v>
      </c>
      <c r="B11" t="s">
        <v>14</v>
      </c>
    </row>
    <row r="12" spans="1:2" ht="15" customHeight="1" x14ac:dyDescent="0.3">
      <c r="A12" t="s">
        <v>15</v>
      </c>
      <c r="B12" t="s">
        <v>16</v>
      </c>
    </row>
    <row r="13" spans="1:2" ht="15" customHeight="1" x14ac:dyDescent="0.3">
      <c r="A13" t="s">
        <v>17</v>
      </c>
      <c r="B13" t="s">
        <v>18</v>
      </c>
    </row>
    <row r="14" spans="1:2" ht="15" customHeight="1" x14ac:dyDescent="0.3">
      <c r="A14" t="s">
        <v>19</v>
      </c>
      <c r="B14" t="s">
        <v>20</v>
      </c>
    </row>
    <row r="16" spans="1:2" ht="15" customHeight="1" x14ac:dyDescent="0.3">
      <c r="A16" s="4" t="s">
        <v>21</v>
      </c>
    </row>
    <row r="17" spans="1:2" ht="15" customHeight="1" x14ac:dyDescent="0.3">
      <c r="A17" t="s">
        <v>22</v>
      </c>
      <c r="B17" t="s">
        <v>23</v>
      </c>
    </row>
    <row r="18" spans="1:2" ht="15" customHeight="1" x14ac:dyDescent="0.3">
      <c r="A18" t="s">
        <v>24</v>
      </c>
      <c r="B18" t="s">
        <v>25</v>
      </c>
    </row>
    <row r="19" spans="1:2" ht="15" customHeight="1" x14ac:dyDescent="0.3">
      <c r="A19" t="s">
        <v>26</v>
      </c>
      <c r="B19" t="s">
        <v>27</v>
      </c>
    </row>
    <row r="20" spans="1:2" ht="15" customHeight="1" x14ac:dyDescent="0.3">
      <c r="A20" t="s">
        <v>28</v>
      </c>
      <c r="B20" t="s">
        <v>29</v>
      </c>
    </row>
    <row r="22" spans="1:2" ht="15" customHeight="1" x14ac:dyDescent="0.3">
      <c r="A22" s="4" t="s">
        <v>30</v>
      </c>
    </row>
    <row r="23" spans="1:2" ht="15" customHeight="1" x14ac:dyDescent="0.3">
      <c r="A23" t="s">
        <v>31</v>
      </c>
      <c r="B23" t="s">
        <v>32</v>
      </c>
    </row>
    <row r="24" spans="1:2" ht="15" customHeight="1" x14ac:dyDescent="0.3">
      <c r="A24" t="s">
        <v>33</v>
      </c>
      <c r="B24" t="s">
        <v>34</v>
      </c>
    </row>
    <row r="25" spans="1:2" ht="15" customHeight="1" x14ac:dyDescent="0.3">
      <c r="A25" t="s">
        <v>35</v>
      </c>
      <c r="B25" t="s">
        <v>36</v>
      </c>
    </row>
    <row r="26" spans="1:2" ht="15" customHeight="1" x14ac:dyDescent="0.3">
      <c r="A26" t="s">
        <v>37</v>
      </c>
      <c r="B26" t="s">
        <v>38</v>
      </c>
    </row>
    <row r="27" spans="1:2" ht="15" customHeight="1" x14ac:dyDescent="0.3">
      <c r="A27" t="s">
        <v>39</v>
      </c>
      <c r="B27" t="s">
        <v>40</v>
      </c>
    </row>
    <row r="28" spans="1:2" ht="15" customHeight="1" x14ac:dyDescent="0.3">
      <c r="A28" t="s">
        <v>41</v>
      </c>
      <c r="B28" t="s">
        <v>42</v>
      </c>
    </row>
    <row r="30" spans="1:2" ht="15" customHeight="1" x14ac:dyDescent="0.3">
      <c r="A30" s="4" t="s">
        <v>43</v>
      </c>
    </row>
    <row r="31" spans="1:2" ht="15" customHeight="1" x14ac:dyDescent="0.3">
      <c r="A31" t="s">
        <v>44</v>
      </c>
      <c r="B31" t="s">
        <v>45</v>
      </c>
    </row>
    <row r="32" spans="1:2" ht="15" customHeight="1" x14ac:dyDescent="0.3">
      <c r="A32" t="s">
        <v>46</v>
      </c>
      <c r="B32" t="s">
        <v>47</v>
      </c>
    </row>
    <row r="33" spans="1:2" ht="15" customHeight="1" x14ac:dyDescent="0.3">
      <c r="A33" t="s">
        <v>48</v>
      </c>
      <c r="B33" t="s">
        <v>49</v>
      </c>
    </row>
    <row r="34" spans="1:2" ht="15" customHeight="1" x14ac:dyDescent="0.3">
      <c r="A34" t="s">
        <v>50</v>
      </c>
      <c r="B34" t="s">
        <v>51</v>
      </c>
    </row>
    <row r="36" spans="1:2" ht="15" customHeight="1" x14ac:dyDescent="0.3">
      <c r="A36" s="4" t="s">
        <v>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1"/>
  <sheetViews>
    <sheetView zoomScaleNormal="100" workbookViewId="0">
      <selection activeCell="I17" sqref="I17"/>
    </sheetView>
  </sheetViews>
  <sheetFormatPr defaultColWidth="8.6640625" defaultRowHeight="14.4" x14ac:dyDescent="0.3"/>
  <cols>
    <col min="1" max="1" width="15" customWidth="1"/>
    <col min="2" max="2" width="12" customWidth="1"/>
    <col min="3" max="3" width="10" customWidth="1"/>
    <col min="4" max="4" width="12" customWidth="1"/>
    <col min="5" max="5" width="15" customWidth="1"/>
    <col min="6" max="6" width="14" customWidth="1"/>
    <col min="7" max="7" width="18" customWidth="1"/>
    <col min="8" max="8" width="10" customWidth="1"/>
    <col min="9" max="9" width="14" customWidth="1"/>
    <col min="10" max="10" width="12" customWidth="1"/>
    <col min="11" max="11" width="14" customWidth="1"/>
    <col min="12" max="12" width="12" customWidth="1"/>
    <col min="13" max="13" width="14" customWidth="1"/>
    <col min="14" max="17" width="12" customWidth="1"/>
  </cols>
  <sheetData>
    <row r="1" spans="1:17" ht="15" customHeight="1" x14ac:dyDescent="0.3">
      <c r="A1" s="5" t="s">
        <v>53</v>
      </c>
      <c r="B1" s="5" t="s">
        <v>54</v>
      </c>
      <c r="C1" s="5" t="s">
        <v>55</v>
      </c>
      <c r="D1" s="5" t="s">
        <v>56</v>
      </c>
      <c r="E1" s="5" t="s">
        <v>57</v>
      </c>
      <c r="F1" s="5" t="s">
        <v>58</v>
      </c>
      <c r="G1" s="5" t="s">
        <v>59</v>
      </c>
      <c r="H1" s="5" t="s">
        <v>60</v>
      </c>
      <c r="I1" s="5" t="s">
        <v>61</v>
      </c>
      <c r="J1" s="5" t="s">
        <v>62</v>
      </c>
      <c r="K1" s="5" t="s">
        <v>63</v>
      </c>
      <c r="L1" s="5" t="s">
        <v>64</v>
      </c>
      <c r="M1" s="5" t="s">
        <v>65</v>
      </c>
      <c r="N1" s="5" t="s">
        <v>66</v>
      </c>
      <c r="O1" s="5" t="s">
        <v>67</v>
      </c>
      <c r="P1" s="5" t="s">
        <v>68</v>
      </c>
      <c r="Q1" s="5" t="s">
        <v>69</v>
      </c>
    </row>
    <row r="2" spans="1:17" ht="15" customHeight="1" x14ac:dyDescent="0.3">
      <c r="A2" t="s">
        <v>70</v>
      </c>
      <c r="B2" s="6">
        <v>45363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>
        <v>5</v>
      </c>
      <c r="I2" s="7">
        <v>1031.3399999999999</v>
      </c>
      <c r="J2" s="8">
        <v>0</v>
      </c>
      <c r="K2" s="7">
        <v>564.79</v>
      </c>
      <c r="L2" s="7">
        <f t="shared" ref="L2:L65" si="0">H2*I2</f>
        <v>5156.7</v>
      </c>
      <c r="M2" s="7">
        <f t="shared" ref="M2:M65" si="1">L2*J2</f>
        <v>0</v>
      </c>
      <c r="N2" s="7">
        <f t="shared" ref="N2:N65" si="2">L2-M2</f>
        <v>5156.7</v>
      </c>
      <c r="O2" s="7">
        <f t="shared" ref="O2:O65" si="3">H2*K2</f>
        <v>2823.95</v>
      </c>
      <c r="P2" s="7">
        <f t="shared" ref="P2:P65" si="4">N2-O2</f>
        <v>2332.75</v>
      </c>
      <c r="Q2" s="8">
        <f t="shared" ref="Q2:Q65" si="5">IF(N2=0,0,P2/N2)</f>
        <v>0.45237264141796113</v>
      </c>
    </row>
    <row r="3" spans="1:17" ht="15" customHeight="1" x14ac:dyDescent="0.3">
      <c r="A3" t="s">
        <v>76</v>
      </c>
      <c r="B3" s="6">
        <v>45550</v>
      </c>
      <c r="C3" t="s">
        <v>77</v>
      </c>
      <c r="D3" t="s">
        <v>72</v>
      </c>
      <c r="E3" t="s">
        <v>73</v>
      </c>
      <c r="F3" t="s">
        <v>74</v>
      </c>
      <c r="G3" t="s">
        <v>75</v>
      </c>
      <c r="H3">
        <v>5</v>
      </c>
      <c r="I3" s="7">
        <v>945.29</v>
      </c>
      <c r="J3" s="8">
        <v>0.05</v>
      </c>
      <c r="K3" s="7">
        <v>547.33000000000004</v>
      </c>
      <c r="L3" s="7">
        <f t="shared" si="0"/>
        <v>4726.45</v>
      </c>
      <c r="M3" s="7">
        <f t="shared" si="1"/>
        <v>236.32249999999999</v>
      </c>
      <c r="N3" s="7">
        <f t="shared" si="2"/>
        <v>4490.1274999999996</v>
      </c>
      <c r="O3" s="7">
        <f t="shared" si="3"/>
        <v>2736.65</v>
      </c>
      <c r="P3" s="7">
        <f t="shared" si="4"/>
        <v>1753.4774999999995</v>
      </c>
      <c r="Q3" s="8">
        <f t="shared" si="5"/>
        <v>0.3905184206907264</v>
      </c>
    </row>
    <row r="4" spans="1:17" ht="15" customHeight="1" x14ac:dyDescent="0.3">
      <c r="A4" t="s">
        <v>78</v>
      </c>
      <c r="B4" s="6">
        <v>45434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  <c r="H4">
        <v>1</v>
      </c>
      <c r="I4" s="7">
        <v>269.51</v>
      </c>
      <c r="J4" s="8">
        <v>0.05</v>
      </c>
      <c r="K4" s="7">
        <v>154.84</v>
      </c>
      <c r="L4" s="7">
        <f t="shared" si="0"/>
        <v>269.51</v>
      </c>
      <c r="M4" s="7">
        <f t="shared" si="1"/>
        <v>13.4755</v>
      </c>
      <c r="N4" s="7">
        <f t="shared" si="2"/>
        <v>256.03449999999998</v>
      </c>
      <c r="O4" s="7">
        <f t="shared" si="3"/>
        <v>154.84</v>
      </c>
      <c r="P4" s="7">
        <f t="shared" si="4"/>
        <v>101.19449999999998</v>
      </c>
      <c r="Q4" s="8">
        <f t="shared" si="5"/>
        <v>0.39523775116244092</v>
      </c>
    </row>
    <row r="5" spans="1:17" ht="15" customHeight="1" x14ac:dyDescent="0.3">
      <c r="A5" t="s">
        <v>84</v>
      </c>
      <c r="B5" s="6">
        <v>45344</v>
      </c>
      <c r="C5" t="s">
        <v>79</v>
      </c>
      <c r="D5" t="s">
        <v>85</v>
      </c>
      <c r="E5" t="s">
        <v>86</v>
      </c>
      <c r="F5" t="s">
        <v>74</v>
      </c>
      <c r="G5" t="s">
        <v>87</v>
      </c>
      <c r="H5">
        <v>1</v>
      </c>
      <c r="I5" s="7">
        <v>270.97000000000003</v>
      </c>
      <c r="J5" s="8">
        <v>0.1</v>
      </c>
      <c r="K5" s="7">
        <v>165.8</v>
      </c>
      <c r="L5" s="7">
        <f t="shared" si="0"/>
        <v>270.97000000000003</v>
      </c>
      <c r="M5" s="7">
        <f t="shared" si="1"/>
        <v>27.097000000000005</v>
      </c>
      <c r="N5" s="7">
        <f t="shared" si="2"/>
        <v>243.87300000000002</v>
      </c>
      <c r="O5" s="7">
        <f t="shared" si="3"/>
        <v>165.8</v>
      </c>
      <c r="P5" s="7">
        <f t="shared" si="4"/>
        <v>78.073000000000008</v>
      </c>
      <c r="Q5" s="8">
        <f t="shared" si="5"/>
        <v>0.3201379406494364</v>
      </c>
    </row>
    <row r="6" spans="1:17" ht="15" customHeight="1" x14ac:dyDescent="0.3">
      <c r="A6" t="s">
        <v>88</v>
      </c>
      <c r="B6" s="6">
        <v>45566</v>
      </c>
      <c r="C6" t="s">
        <v>77</v>
      </c>
      <c r="D6" t="s">
        <v>80</v>
      </c>
      <c r="E6" t="s">
        <v>89</v>
      </c>
      <c r="F6" t="s">
        <v>90</v>
      </c>
      <c r="G6" t="s">
        <v>91</v>
      </c>
      <c r="H6">
        <v>4</v>
      </c>
      <c r="I6" s="7">
        <v>159.97</v>
      </c>
      <c r="J6" s="8">
        <v>0</v>
      </c>
      <c r="K6" s="7">
        <v>86.07</v>
      </c>
      <c r="L6" s="7">
        <f t="shared" si="0"/>
        <v>639.88</v>
      </c>
      <c r="M6" s="7">
        <f t="shared" si="1"/>
        <v>0</v>
      </c>
      <c r="N6" s="7">
        <f t="shared" si="2"/>
        <v>639.88</v>
      </c>
      <c r="O6" s="7">
        <f t="shared" si="3"/>
        <v>344.28</v>
      </c>
      <c r="P6" s="7">
        <f t="shared" si="4"/>
        <v>295.60000000000002</v>
      </c>
      <c r="Q6" s="8">
        <f t="shared" si="5"/>
        <v>0.46196161780333816</v>
      </c>
    </row>
    <row r="7" spans="1:17" ht="15" customHeight="1" x14ac:dyDescent="0.3">
      <c r="A7" t="s">
        <v>92</v>
      </c>
      <c r="B7" s="6">
        <v>45315</v>
      </c>
      <c r="C7" t="s">
        <v>93</v>
      </c>
      <c r="D7" t="s">
        <v>80</v>
      </c>
      <c r="E7" t="s">
        <v>89</v>
      </c>
      <c r="F7" t="s">
        <v>74</v>
      </c>
      <c r="G7" t="s">
        <v>94</v>
      </c>
      <c r="H7">
        <v>3</v>
      </c>
      <c r="I7" s="7">
        <v>245.8</v>
      </c>
      <c r="J7" s="8">
        <v>0</v>
      </c>
      <c r="K7" s="7">
        <v>150.88</v>
      </c>
      <c r="L7" s="7">
        <f t="shared" si="0"/>
        <v>737.40000000000009</v>
      </c>
      <c r="M7" s="7">
        <f t="shared" si="1"/>
        <v>0</v>
      </c>
      <c r="N7" s="7">
        <f t="shared" si="2"/>
        <v>737.40000000000009</v>
      </c>
      <c r="O7" s="7">
        <f t="shared" si="3"/>
        <v>452.64</v>
      </c>
      <c r="P7" s="7">
        <f t="shared" si="4"/>
        <v>284.7600000000001</v>
      </c>
      <c r="Q7" s="8">
        <f t="shared" si="5"/>
        <v>0.38616761594792526</v>
      </c>
    </row>
    <row r="8" spans="1:17" ht="15" customHeight="1" x14ac:dyDescent="0.3">
      <c r="A8" t="s">
        <v>95</v>
      </c>
      <c r="B8" s="6">
        <v>45375</v>
      </c>
      <c r="C8" t="s">
        <v>71</v>
      </c>
      <c r="D8" t="s">
        <v>72</v>
      </c>
      <c r="E8" t="s">
        <v>96</v>
      </c>
      <c r="F8" t="s">
        <v>82</v>
      </c>
      <c r="G8" t="s">
        <v>87</v>
      </c>
      <c r="H8">
        <v>2</v>
      </c>
      <c r="I8" s="7">
        <v>796.92</v>
      </c>
      <c r="J8" s="8">
        <v>0.1</v>
      </c>
      <c r="K8" s="7">
        <v>458.59</v>
      </c>
      <c r="L8" s="7">
        <f t="shared" si="0"/>
        <v>1593.84</v>
      </c>
      <c r="M8" s="7">
        <f t="shared" si="1"/>
        <v>159.38400000000001</v>
      </c>
      <c r="N8" s="7">
        <f t="shared" si="2"/>
        <v>1434.4559999999999</v>
      </c>
      <c r="O8" s="7">
        <f t="shared" si="3"/>
        <v>917.18</v>
      </c>
      <c r="P8" s="7">
        <f t="shared" si="4"/>
        <v>517.27599999999995</v>
      </c>
      <c r="Q8" s="8">
        <f t="shared" si="5"/>
        <v>0.36060778441444002</v>
      </c>
    </row>
    <row r="9" spans="1:17" ht="15" customHeight="1" x14ac:dyDescent="0.3">
      <c r="A9" t="s">
        <v>97</v>
      </c>
      <c r="B9" s="6">
        <v>45375</v>
      </c>
      <c r="C9" t="s">
        <v>79</v>
      </c>
      <c r="D9" t="s">
        <v>72</v>
      </c>
      <c r="E9" t="s">
        <v>98</v>
      </c>
      <c r="F9" t="s">
        <v>90</v>
      </c>
      <c r="G9" t="s">
        <v>75</v>
      </c>
      <c r="H9">
        <v>3</v>
      </c>
      <c r="I9" s="7">
        <v>855.85</v>
      </c>
      <c r="J9" s="8">
        <v>0.2</v>
      </c>
      <c r="K9" s="7">
        <v>389.33</v>
      </c>
      <c r="L9" s="7">
        <f t="shared" si="0"/>
        <v>2567.5500000000002</v>
      </c>
      <c r="M9" s="7">
        <f t="shared" si="1"/>
        <v>513.5100000000001</v>
      </c>
      <c r="N9" s="7">
        <f t="shared" si="2"/>
        <v>2054.04</v>
      </c>
      <c r="O9" s="7">
        <f t="shared" si="3"/>
        <v>1167.99</v>
      </c>
      <c r="P9" s="7">
        <f t="shared" si="4"/>
        <v>886.05</v>
      </c>
      <c r="Q9" s="8">
        <f t="shared" si="5"/>
        <v>0.4313693988432552</v>
      </c>
    </row>
    <row r="10" spans="1:17" ht="15" customHeight="1" x14ac:dyDescent="0.3">
      <c r="A10" t="s">
        <v>99</v>
      </c>
      <c r="B10" s="6">
        <v>45497</v>
      </c>
      <c r="C10" t="s">
        <v>79</v>
      </c>
      <c r="D10" t="s">
        <v>85</v>
      </c>
      <c r="E10" t="s">
        <v>100</v>
      </c>
      <c r="F10" t="s">
        <v>74</v>
      </c>
      <c r="G10" t="s">
        <v>87</v>
      </c>
      <c r="H10">
        <v>2</v>
      </c>
      <c r="I10" s="7">
        <v>319.97000000000003</v>
      </c>
      <c r="J10" s="8">
        <v>0.2</v>
      </c>
      <c r="K10" s="7">
        <v>198.09</v>
      </c>
      <c r="L10" s="7">
        <f t="shared" si="0"/>
        <v>639.94000000000005</v>
      </c>
      <c r="M10" s="7">
        <f t="shared" si="1"/>
        <v>127.98800000000001</v>
      </c>
      <c r="N10" s="7">
        <f t="shared" si="2"/>
        <v>511.95200000000006</v>
      </c>
      <c r="O10" s="7">
        <f t="shared" si="3"/>
        <v>396.18</v>
      </c>
      <c r="P10" s="7">
        <f t="shared" si="4"/>
        <v>115.77200000000005</v>
      </c>
      <c r="Q10" s="8">
        <f t="shared" si="5"/>
        <v>0.22613838797387262</v>
      </c>
    </row>
    <row r="11" spans="1:17" ht="15" customHeight="1" x14ac:dyDescent="0.3">
      <c r="A11" t="s">
        <v>101</v>
      </c>
      <c r="B11" s="6">
        <v>45365</v>
      </c>
      <c r="C11" t="s">
        <v>102</v>
      </c>
      <c r="D11" t="s">
        <v>85</v>
      </c>
      <c r="E11" t="s">
        <v>103</v>
      </c>
      <c r="F11" t="s">
        <v>82</v>
      </c>
      <c r="G11" t="s">
        <v>91</v>
      </c>
      <c r="H11">
        <v>2</v>
      </c>
      <c r="I11" s="7">
        <v>319.17</v>
      </c>
      <c r="J11" s="8">
        <v>0.2</v>
      </c>
      <c r="K11" s="7">
        <v>170.67</v>
      </c>
      <c r="L11" s="7">
        <f t="shared" si="0"/>
        <v>638.34</v>
      </c>
      <c r="M11" s="7">
        <f t="shared" si="1"/>
        <v>127.66800000000001</v>
      </c>
      <c r="N11" s="7">
        <f t="shared" si="2"/>
        <v>510.67200000000003</v>
      </c>
      <c r="O11" s="7">
        <f t="shared" si="3"/>
        <v>341.34</v>
      </c>
      <c r="P11" s="7">
        <f t="shared" si="4"/>
        <v>169.33200000000005</v>
      </c>
      <c r="Q11" s="8">
        <f t="shared" si="5"/>
        <v>0.33158661528339139</v>
      </c>
    </row>
    <row r="12" spans="1:17" ht="15" customHeight="1" x14ac:dyDescent="0.3">
      <c r="A12" t="s">
        <v>104</v>
      </c>
      <c r="B12" s="6">
        <v>45404</v>
      </c>
      <c r="C12" t="s">
        <v>93</v>
      </c>
      <c r="D12" t="s">
        <v>80</v>
      </c>
      <c r="E12" t="s">
        <v>81</v>
      </c>
      <c r="F12" t="s">
        <v>82</v>
      </c>
      <c r="G12" t="s">
        <v>87</v>
      </c>
      <c r="H12">
        <v>2</v>
      </c>
      <c r="I12" s="7">
        <v>299.57</v>
      </c>
      <c r="J12" s="8">
        <v>0.2</v>
      </c>
      <c r="K12" s="7">
        <v>156.79</v>
      </c>
      <c r="L12" s="7">
        <f t="shared" si="0"/>
        <v>599.14</v>
      </c>
      <c r="M12" s="7">
        <f t="shared" si="1"/>
        <v>119.828</v>
      </c>
      <c r="N12" s="7">
        <f t="shared" si="2"/>
        <v>479.31200000000001</v>
      </c>
      <c r="O12" s="7">
        <f t="shared" si="3"/>
        <v>313.58</v>
      </c>
      <c r="P12" s="7">
        <f t="shared" si="4"/>
        <v>165.73200000000003</v>
      </c>
      <c r="Q12" s="8">
        <f t="shared" si="5"/>
        <v>0.34577060453316427</v>
      </c>
    </row>
    <row r="13" spans="1:17" ht="15" customHeight="1" x14ac:dyDescent="0.3">
      <c r="A13" t="s">
        <v>105</v>
      </c>
      <c r="B13" s="6">
        <v>45640</v>
      </c>
      <c r="C13" t="s">
        <v>79</v>
      </c>
      <c r="D13" t="s">
        <v>72</v>
      </c>
      <c r="E13" t="s">
        <v>73</v>
      </c>
      <c r="F13" t="s">
        <v>90</v>
      </c>
      <c r="G13" t="s">
        <v>106</v>
      </c>
      <c r="H13">
        <v>1</v>
      </c>
      <c r="I13" s="7">
        <v>830.18</v>
      </c>
      <c r="J13" s="8">
        <v>0.15</v>
      </c>
      <c r="K13" s="7">
        <v>411.28</v>
      </c>
      <c r="L13" s="7">
        <f t="shared" si="0"/>
        <v>830.18</v>
      </c>
      <c r="M13" s="7">
        <f t="shared" si="1"/>
        <v>124.52699999999999</v>
      </c>
      <c r="N13" s="7">
        <f t="shared" si="2"/>
        <v>705.65300000000002</v>
      </c>
      <c r="O13" s="7">
        <f t="shared" si="3"/>
        <v>411.28</v>
      </c>
      <c r="P13" s="7">
        <f t="shared" si="4"/>
        <v>294.37300000000005</v>
      </c>
      <c r="Q13" s="8">
        <f t="shared" si="5"/>
        <v>0.41716396019006513</v>
      </c>
    </row>
    <row r="14" spans="1:17" ht="15" customHeight="1" x14ac:dyDescent="0.3">
      <c r="A14" t="s">
        <v>107</v>
      </c>
      <c r="B14" s="6">
        <v>45640</v>
      </c>
      <c r="C14" t="s">
        <v>71</v>
      </c>
      <c r="D14" t="s">
        <v>108</v>
      </c>
      <c r="E14" t="s">
        <v>109</v>
      </c>
      <c r="F14" t="s">
        <v>90</v>
      </c>
      <c r="G14" t="s">
        <v>110</v>
      </c>
      <c r="H14">
        <v>18</v>
      </c>
      <c r="I14" s="7">
        <v>31.91</v>
      </c>
      <c r="J14" s="8">
        <v>0.1</v>
      </c>
      <c r="K14" s="7">
        <v>18.899999999999999</v>
      </c>
      <c r="L14" s="7">
        <f t="shared" si="0"/>
        <v>574.38</v>
      </c>
      <c r="M14" s="7">
        <f t="shared" si="1"/>
        <v>57.438000000000002</v>
      </c>
      <c r="N14" s="7">
        <f t="shared" si="2"/>
        <v>516.94200000000001</v>
      </c>
      <c r="O14" s="7">
        <f t="shared" si="3"/>
        <v>340.2</v>
      </c>
      <c r="P14" s="7">
        <f t="shared" si="4"/>
        <v>176.74200000000002</v>
      </c>
      <c r="Q14" s="8">
        <f t="shared" si="5"/>
        <v>0.3418990911939831</v>
      </c>
    </row>
    <row r="15" spans="1:17" ht="15" customHeight="1" x14ac:dyDescent="0.3">
      <c r="A15" t="s">
        <v>111</v>
      </c>
      <c r="B15" s="6">
        <v>45524</v>
      </c>
      <c r="C15" t="s">
        <v>71</v>
      </c>
      <c r="D15" t="s">
        <v>85</v>
      </c>
      <c r="E15" t="s">
        <v>100</v>
      </c>
      <c r="F15" t="s">
        <v>82</v>
      </c>
      <c r="G15" t="s">
        <v>106</v>
      </c>
      <c r="H15">
        <v>3</v>
      </c>
      <c r="I15" s="7">
        <v>245.91</v>
      </c>
      <c r="J15" s="8">
        <v>0.2</v>
      </c>
      <c r="K15" s="7">
        <v>145.21</v>
      </c>
      <c r="L15" s="7">
        <f t="shared" si="0"/>
        <v>737.73</v>
      </c>
      <c r="M15" s="7">
        <f t="shared" si="1"/>
        <v>147.54600000000002</v>
      </c>
      <c r="N15" s="7">
        <f t="shared" si="2"/>
        <v>590.18399999999997</v>
      </c>
      <c r="O15" s="7">
        <f t="shared" si="3"/>
        <v>435.63</v>
      </c>
      <c r="P15" s="7">
        <f t="shared" si="4"/>
        <v>154.55399999999997</v>
      </c>
      <c r="Q15" s="8">
        <f t="shared" si="5"/>
        <v>0.26187426294172661</v>
      </c>
    </row>
    <row r="16" spans="1:17" ht="15" customHeight="1" x14ac:dyDescent="0.3">
      <c r="A16" t="s">
        <v>112</v>
      </c>
      <c r="B16" s="6">
        <v>45603</v>
      </c>
      <c r="C16" t="s">
        <v>71</v>
      </c>
      <c r="D16" t="s">
        <v>80</v>
      </c>
      <c r="E16" t="s">
        <v>113</v>
      </c>
      <c r="F16" t="s">
        <v>90</v>
      </c>
      <c r="G16" t="s">
        <v>114</v>
      </c>
      <c r="H16">
        <v>3</v>
      </c>
      <c r="I16" s="7">
        <v>171.83</v>
      </c>
      <c r="J16" s="8">
        <v>0.05</v>
      </c>
      <c r="K16" s="7">
        <v>91.9</v>
      </c>
      <c r="L16" s="7">
        <f t="shared" si="0"/>
        <v>515.49</v>
      </c>
      <c r="M16" s="7">
        <f t="shared" si="1"/>
        <v>25.774500000000003</v>
      </c>
      <c r="N16" s="7">
        <f t="shared" si="2"/>
        <v>489.71550000000002</v>
      </c>
      <c r="O16" s="7">
        <f t="shared" si="3"/>
        <v>275.70000000000005</v>
      </c>
      <c r="P16" s="7">
        <f t="shared" si="4"/>
        <v>214.01549999999997</v>
      </c>
      <c r="Q16" s="8">
        <f t="shared" si="5"/>
        <v>0.43702006573204233</v>
      </c>
    </row>
    <row r="17" spans="1:17" ht="15" customHeight="1" x14ac:dyDescent="0.3">
      <c r="A17" t="s">
        <v>115</v>
      </c>
      <c r="B17" s="6">
        <v>45301</v>
      </c>
      <c r="C17" t="s">
        <v>93</v>
      </c>
      <c r="D17" t="s">
        <v>80</v>
      </c>
      <c r="E17" t="s">
        <v>113</v>
      </c>
      <c r="F17" t="s">
        <v>82</v>
      </c>
      <c r="G17" t="s">
        <v>91</v>
      </c>
      <c r="H17">
        <v>3</v>
      </c>
      <c r="I17" s="7">
        <v>157.9</v>
      </c>
      <c r="J17" s="8">
        <v>0.1</v>
      </c>
      <c r="K17" s="7">
        <v>72.61</v>
      </c>
      <c r="L17" s="7">
        <f t="shared" si="0"/>
        <v>473.70000000000005</v>
      </c>
      <c r="M17" s="7">
        <f t="shared" si="1"/>
        <v>47.370000000000005</v>
      </c>
      <c r="N17" s="7">
        <f t="shared" si="2"/>
        <v>426.33000000000004</v>
      </c>
      <c r="O17" s="7">
        <f t="shared" si="3"/>
        <v>217.82999999999998</v>
      </c>
      <c r="P17" s="7">
        <f t="shared" si="4"/>
        <v>208.50000000000006</v>
      </c>
      <c r="Q17" s="8">
        <f t="shared" si="5"/>
        <v>0.4890577721483359</v>
      </c>
    </row>
    <row r="18" spans="1:17" ht="15" customHeight="1" x14ac:dyDescent="0.3">
      <c r="A18" t="s">
        <v>116</v>
      </c>
      <c r="B18" s="6">
        <v>45327</v>
      </c>
      <c r="C18" t="s">
        <v>77</v>
      </c>
      <c r="D18" t="s">
        <v>117</v>
      </c>
      <c r="E18" t="s">
        <v>118</v>
      </c>
      <c r="F18" t="s">
        <v>74</v>
      </c>
      <c r="G18" t="s">
        <v>91</v>
      </c>
      <c r="H18">
        <v>5</v>
      </c>
      <c r="I18" s="7">
        <v>177.89</v>
      </c>
      <c r="J18" s="8">
        <v>0.05</v>
      </c>
      <c r="K18" s="7">
        <v>76.87</v>
      </c>
      <c r="L18" s="7">
        <f t="shared" si="0"/>
        <v>889.44999999999993</v>
      </c>
      <c r="M18" s="7">
        <f t="shared" si="1"/>
        <v>44.472499999999997</v>
      </c>
      <c r="N18" s="7">
        <f t="shared" si="2"/>
        <v>844.97749999999996</v>
      </c>
      <c r="O18" s="7">
        <f t="shared" si="3"/>
        <v>384.35</v>
      </c>
      <c r="P18" s="7">
        <f t="shared" si="4"/>
        <v>460.62749999999994</v>
      </c>
      <c r="Q18" s="8">
        <f t="shared" si="5"/>
        <v>0.54513581722590243</v>
      </c>
    </row>
    <row r="19" spans="1:17" ht="15" customHeight="1" x14ac:dyDescent="0.3">
      <c r="A19" t="s">
        <v>119</v>
      </c>
      <c r="B19" s="6">
        <v>45602</v>
      </c>
      <c r="C19" t="s">
        <v>79</v>
      </c>
      <c r="D19" t="s">
        <v>108</v>
      </c>
      <c r="E19" t="s">
        <v>109</v>
      </c>
      <c r="F19" t="s">
        <v>82</v>
      </c>
      <c r="G19" t="s">
        <v>114</v>
      </c>
      <c r="H19">
        <v>7</v>
      </c>
      <c r="I19" s="7">
        <v>25.96</v>
      </c>
      <c r="J19" s="8">
        <v>0.2</v>
      </c>
      <c r="K19" s="7">
        <v>15.29</v>
      </c>
      <c r="L19" s="7">
        <f t="shared" si="0"/>
        <v>181.72</v>
      </c>
      <c r="M19" s="7">
        <f t="shared" si="1"/>
        <v>36.344000000000001</v>
      </c>
      <c r="N19" s="7">
        <f t="shared" si="2"/>
        <v>145.376</v>
      </c>
      <c r="O19" s="7">
        <f t="shared" si="3"/>
        <v>107.03</v>
      </c>
      <c r="P19" s="7">
        <f t="shared" si="4"/>
        <v>38.346000000000004</v>
      </c>
      <c r="Q19" s="8">
        <f t="shared" si="5"/>
        <v>0.26377118644067798</v>
      </c>
    </row>
    <row r="20" spans="1:17" ht="15" customHeight="1" x14ac:dyDescent="0.3">
      <c r="A20" t="s">
        <v>120</v>
      </c>
      <c r="B20" s="6">
        <v>45516</v>
      </c>
      <c r="C20" t="s">
        <v>102</v>
      </c>
      <c r="D20" t="s">
        <v>117</v>
      </c>
      <c r="E20" t="s">
        <v>121</v>
      </c>
      <c r="F20" t="s">
        <v>90</v>
      </c>
      <c r="G20" t="s">
        <v>87</v>
      </c>
      <c r="H20">
        <v>4</v>
      </c>
      <c r="I20" s="7">
        <v>170.36</v>
      </c>
      <c r="J20" s="8">
        <v>0</v>
      </c>
      <c r="K20" s="7">
        <v>78.7</v>
      </c>
      <c r="L20" s="7">
        <f t="shared" si="0"/>
        <v>681.44</v>
      </c>
      <c r="M20" s="7">
        <f t="shared" si="1"/>
        <v>0</v>
      </c>
      <c r="N20" s="7">
        <f t="shared" si="2"/>
        <v>681.44</v>
      </c>
      <c r="O20" s="7">
        <f t="shared" si="3"/>
        <v>314.8</v>
      </c>
      <c r="P20" s="7">
        <f t="shared" si="4"/>
        <v>366.64000000000004</v>
      </c>
      <c r="Q20" s="8">
        <f t="shared" si="5"/>
        <v>0.53803709791030763</v>
      </c>
    </row>
    <row r="21" spans="1:17" ht="15" customHeight="1" x14ac:dyDescent="0.3">
      <c r="A21" t="s">
        <v>122</v>
      </c>
      <c r="B21" s="6">
        <v>45409</v>
      </c>
      <c r="C21" t="s">
        <v>77</v>
      </c>
      <c r="D21" t="s">
        <v>72</v>
      </c>
      <c r="E21" t="s">
        <v>123</v>
      </c>
      <c r="F21" t="s">
        <v>90</v>
      </c>
      <c r="G21" t="s">
        <v>114</v>
      </c>
      <c r="H21">
        <v>1</v>
      </c>
      <c r="I21" s="7">
        <v>936.6</v>
      </c>
      <c r="J21" s="8">
        <v>0</v>
      </c>
      <c r="K21" s="7">
        <v>540.38</v>
      </c>
      <c r="L21" s="7">
        <f t="shared" si="0"/>
        <v>936.6</v>
      </c>
      <c r="M21" s="7">
        <f t="shared" si="1"/>
        <v>0</v>
      </c>
      <c r="N21" s="7">
        <f t="shared" si="2"/>
        <v>936.6</v>
      </c>
      <c r="O21" s="7">
        <f t="shared" si="3"/>
        <v>540.38</v>
      </c>
      <c r="P21" s="7">
        <f t="shared" si="4"/>
        <v>396.22</v>
      </c>
      <c r="Q21" s="8">
        <f t="shared" si="5"/>
        <v>0.42304078582105492</v>
      </c>
    </row>
    <row r="22" spans="1:17" ht="15" customHeight="1" x14ac:dyDescent="0.3">
      <c r="A22" t="s">
        <v>124</v>
      </c>
      <c r="B22" s="6">
        <v>45328</v>
      </c>
      <c r="C22" t="s">
        <v>77</v>
      </c>
      <c r="D22" t="s">
        <v>72</v>
      </c>
      <c r="E22" t="s">
        <v>125</v>
      </c>
      <c r="F22" t="s">
        <v>74</v>
      </c>
      <c r="G22" t="s">
        <v>87</v>
      </c>
      <c r="H22">
        <v>3</v>
      </c>
      <c r="I22" s="7">
        <v>889.06</v>
      </c>
      <c r="J22" s="8">
        <v>0.15</v>
      </c>
      <c r="K22" s="7">
        <v>403.24</v>
      </c>
      <c r="L22" s="7">
        <f t="shared" si="0"/>
        <v>2667.18</v>
      </c>
      <c r="M22" s="7">
        <f t="shared" si="1"/>
        <v>400.07699999999994</v>
      </c>
      <c r="N22" s="7">
        <f t="shared" si="2"/>
        <v>2267.1030000000001</v>
      </c>
      <c r="O22" s="7">
        <f t="shared" si="3"/>
        <v>1209.72</v>
      </c>
      <c r="P22" s="7">
        <f t="shared" si="4"/>
        <v>1057.383</v>
      </c>
      <c r="Q22" s="8">
        <f t="shared" si="5"/>
        <v>0.46640271747688572</v>
      </c>
    </row>
    <row r="23" spans="1:17" ht="15" customHeight="1" x14ac:dyDescent="0.3">
      <c r="A23" t="s">
        <v>126</v>
      </c>
      <c r="B23" s="6">
        <v>45534</v>
      </c>
      <c r="C23" t="s">
        <v>93</v>
      </c>
      <c r="D23" t="s">
        <v>117</v>
      </c>
      <c r="E23" t="s">
        <v>118</v>
      </c>
      <c r="F23" t="s">
        <v>82</v>
      </c>
      <c r="G23" t="s">
        <v>75</v>
      </c>
      <c r="H23">
        <v>2</v>
      </c>
      <c r="I23" s="7">
        <v>161.52000000000001</v>
      </c>
      <c r="J23" s="8">
        <v>0</v>
      </c>
      <c r="K23" s="7">
        <v>68.52</v>
      </c>
      <c r="L23" s="7">
        <f t="shared" si="0"/>
        <v>323.04000000000002</v>
      </c>
      <c r="M23" s="7">
        <f t="shared" si="1"/>
        <v>0</v>
      </c>
      <c r="N23" s="7">
        <f t="shared" si="2"/>
        <v>323.04000000000002</v>
      </c>
      <c r="O23" s="7">
        <f t="shared" si="3"/>
        <v>137.04</v>
      </c>
      <c r="P23" s="7">
        <f t="shared" si="4"/>
        <v>186.00000000000003</v>
      </c>
      <c r="Q23" s="8">
        <f t="shared" si="5"/>
        <v>0.57578008915304613</v>
      </c>
    </row>
    <row r="24" spans="1:17" ht="15" customHeight="1" x14ac:dyDescent="0.3">
      <c r="A24" t="s">
        <v>127</v>
      </c>
      <c r="B24" s="6">
        <v>45319</v>
      </c>
      <c r="C24" t="s">
        <v>102</v>
      </c>
      <c r="D24" t="s">
        <v>108</v>
      </c>
      <c r="E24" t="s">
        <v>128</v>
      </c>
      <c r="F24" t="s">
        <v>82</v>
      </c>
      <c r="G24" t="s">
        <v>91</v>
      </c>
      <c r="H24">
        <v>4</v>
      </c>
      <c r="I24" s="7">
        <v>30.97</v>
      </c>
      <c r="J24" s="8">
        <v>0</v>
      </c>
      <c r="K24" s="7">
        <v>15.51</v>
      </c>
      <c r="L24" s="7">
        <f t="shared" si="0"/>
        <v>123.88</v>
      </c>
      <c r="M24" s="7">
        <f t="shared" si="1"/>
        <v>0</v>
      </c>
      <c r="N24" s="7">
        <f t="shared" si="2"/>
        <v>123.88</v>
      </c>
      <c r="O24" s="7">
        <f t="shared" si="3"/>
        <v>62.04</v>
      </c>
      <c r="P24" s="7">
        <f t="shared" si="4"/>
        <v>61.839999999999996</v>
      </c>
      <c r="Q24" s="8">
        <f t="shared" si="5"/>
        <v>0.49919276719405875</v>
      </c>
    </row>
    <row r="25" spans="1:17" ht="15" customHeight="1" x14ac:dyDescent="0.3">
      <c r="A25" t="s">
        <v>129</v>
      </c>
      <c r="B25" s="6">
        <v>45566</v>
      </c>
      <c r="C25" t="s">
        <v>79</v>
      </c>
      <c r="D25" t="s">
        <v>85</v>
      </c>
      <c r="E25" t="s">
        <v>100</v>
      </c>
      <c r="F25" t="s">
        <v>74</v>
      </c>
      <c r="G25" t="s">
        <v>75</v>
      </c>
      <c r="H25">
        <v>4</v>
      </c>
      <c r="I25" s="7">
        <v>370.61</v>
      </c>
      <c r="J25" s="8">
        <v>0.05</v>
      </c>
      <c r="K25" s="7">
        <v>174.05</v>
      </c>
      <c r="L25" s="7">
        <f t="shared" si="0"/>
        <v>1482.44</v>
      </c>
      <c r="M25" s="7">
        <f t="shared" si="1"/>
        <v>74.122</v>
      </c>
      <c r="N25" s="7">
        <f t="shared" si="2"/>
        <v>1408.318</v>
      </c>
      <c r="O25" s="7">
        <f t="shared" si="3"/>
        <v>696.2</v>
      </c>
      <c r="P25" s="7">
        <f t="shared" si="4"/>
        <v>712.11799999999994</v>
      </c>
      <c r="Q25" s="8">
        <f t="shared" si="5"/>
        <v>0.50565142247702577</v>
      </c>
    </row>
    <row r="26" spans="1:17" ht="15" customHeight="1" x14ac:dyDescent="0.3">
      <c r="A26" t="s">
        <v>130</v>
      </c>
      <c r="B26" s="6">
        <v>45317</v>
      </c>
      <c r="C26" t="s">
        <v>102</v>
      </c>
      <c r="D26" t="s">
        <v>117</v>
      </c>
      <c r="E26" t="s">
        <v>131</v>
      </c>
      <c r="F26" t="s">
        <v>90</v>
      </c>
      <c r="G26" t="s">
        <v>94</v>
      </c>
      <c r="H26">
        <v>5</v>
      </c>
      <c r="I26" s="7">
        <v>146.61000000000001</v>
      </c>
      <c r="J26" s="8">
        <v>0</v>
      </c>
      <c r="K26" s="7">
        <v>94.16</v>
      </c>
      <c r="L26" s="7">
        <f t="shared" si="0"/>
        <v>733.05000000000007</v>
      </c>
      <c r="M26" s="7">
        <f t="shared" si="1"/>
        <v>0</v>
      </c>
      <c r="N26" s="7">
        <f t="shared" si="2"/>
        <v>733.05000000000007</v>
      </c>
      <c r="O26" s="7">
        <f t="shared" si="3"/>
        <v>470.79999999999995</v>
      </c>
      <c r="P26" s="7">
        <f t="shared" si="4"/>
        <v>262.25000000000011</v>
      </c>
      <c r="Q26" s="8">
        <f t="shared" si="5"/>
        <v>0.35775185867266912</v>
      </c>
    </row>
    <row r="27" spans="1:17" ht="15" customHeight="1" x14ac:dyDescent="0.3">
      <c r="A27" t="s">
        <v>132</v>
      </c>
      <c r="B27" s="6">
        <v>45401</v>
      </c>
      <c r="C27" t="s">
        <v>102</v>
      </c>
      <c r="D27" t="s">
        <v>117</v>
      </c>
      <c r="E27" t="s">
        <v>133</v>
      </c>
      <c r="F27" t="s">
        <v>82</v>
      </c>
      <c r="G27" t="s">
        <v>91</v>
      </c>
      <c r="H27">
        <v>1</v>
      </c>
      <c r="I27" s="7">
        <v>167.01</v>
      </c>
      <c r="J27" s="8">
        <v>0.05</v>
      </c>
      <c r="K27" s="7">
        <v>82.63</v>
      </c>
      <c r="L27" s="7">
        <f t="shared" si="0"/>
        <v>167.01</v>
      </c>
      <c r="M27" s="7">
        <f t="shared" si="1"/>
        <v>8.3505000000000003</v>
      </c>
      <c r="N27" s="7">
        <f t="shared" si="2"/>
        <v>158.65949999999998</v>
      </c>
      <c r="O27" s="7">
        <f t="shared" si="3"/>
        <v>82.63</v>
      </c>
      <c r="P27" s="7">
        <f t="shared" si="4"/>
        <v>76.029499999999985</v>
      </c>
      <c r="Q27" s="8">
        <f t="shared" si="5"/>
        <v>0.47919916550852609</v>
      </c>
    </row>
    <row r="28" spans="1:17" ht="15" customHeight="1" x14ac:dyDescent="0.3">
      <c r="A28" t="s">
        <v>134</v>
      </c>
      <c r="B28" s="6">
        <v>45648</v>
      </c>
      <c r="C28" t="s">
        <v>102</v>
      </c>
      <c r="D28" t="s">
        <v>108</v>
      </c>
      <c r="E28" t="s">
        <v>128</v>
      </c>
      <c r="F28" t="s">
        <v>82</v>
      </c>
      <c r="G28" t="s">
        <v>135</v>
      </c>
      <c r="H28">
        <v>18</v>
      </c>
      <c r="I28" s="7">
        <v>36.65</v>
      </c>
      <c r="J28" s="8">
        <v>0.15</v>
      </c>
      <c r="K28" s="7">
        <v>16.079999999999998</v>
      </c>
      <c r="L28" s="7">
        <f t="shared" si="0"/>
        <v>659.69999999999993</v>
      </c>
      <c r="M28" s="7">
        <f t="shared" si="1"/>
        <v>98.954999999999984</v>
      </c>
      <c r="N28" s="7">
        <f t="shared" si="2"/>
        <v>560.74499999999989</v>
      </c>
      <c r="O28" s="7">
        <f t="shared" si="3"/>
        <v>289.43999999999994</v>
      </c>
      <c r="P28" s="7">
        <f t="shared" si="4"/>
        <v>271.30499999999995</v>
      </c>
      <c r="Q28" s="8">
        <f t="shared" si="5"/>
        <v>0.4838295481903539</v>
      </c>
    </row>
    <row r="29" spans="1:17" ht="15" customHeight="1" x14ac:dyDescent="0.3">
      <c r="A29" t="s">
        <v>136</v>
      </c>
      <c r="B29" s="6">
        <v>45323</v>
      </c>
      <c r="C29" t="s">
        <v>77</v>
      </c>
      <c r="D29" t="s">
        <v>85</v>
      </c>
      <c r="E29" t="s">
        <v>103</v>
      </c>
      <c r="F29" t="s">
        <v>90</v>
      </c>
      <c r="G29" t="s">
        <v>114</v>
      </c>
      <c r="H29">
        <v>1</v>
      </c>
      <c r="I29" s="7">
        <v>454.43</v>
      </c>
      <c r="J29" s="8">
        <v>0</v>
      </c>
      <c r="K29" s="7">
        <v>248.14</v>
      </c>
      <c r="L29" s="7">
        <f t="shared" si="0"/>
        <v>454.43</v>
      </c>
      <c r="M29" s="7">
        <f t="shared" si="1"/>
        <v>0</v>
      </c>
      <c r="N29" s="7">
        <f t="shared" si="2"/>
        <v>454.43</v>
      </c>
      <c r="O29" s="7">
        <f t="shared" si="3"/>
        <v>248.14</v>
      </c>
      <c r="P29" s="7">
        <f t="shared" si="4"/>
        <v>206.29000000000002</v>
      </c>
      <c r="Q29" s="8">
        <f t="shared" si="5"/>
        <v>0.45395330413925139</v>
      </c>
    </row>
    <row r="30" spans="1:17" ht="15" customHeight="1" x14ac:dyDescent="0.3">
      <c r="A30" t="s">
        <v>137</v>
      </c>
      <c r="B30" s="6">
        <v>45333</v>
      </c>
      <c r="C30" t="s">
        <v>79</v>
      </c>
      <c r="D30" t="s">
        <v>80</v>
      </c>
      <c r="E30" t="s">
        <v>138</v>
      </c>
      <c r="F30" t="s">
        <v>74</v>
      </c>
      <c r="G30" t="s">
        <v>114</v>
      </c>
      <c r="H30">
        <v>1</v>
      </c>
      <c r="I30" s="7">
        <v>276.20999999999998</v>
      </c>
      <c r="J30" s="8">
        <v>0.2</v>
      </c>
      <c r="K30" s="7">
        <v>115.18</v>
      </c>
      <c r="L30" s="7">
        <f t="shared" si="0"/>
        <v>276.20999999999998</v>
      </c>
      <c r="M30" s="7">
        <f t="shared" si="1"/>
        <v>55.241999999999997</v>
      </c>
      <c r="N30" s="7">
        <f t="shared" si="2"/>
        <v>220.96799999999999</v>
      </c>
      <c r="O30" s="7">
        <f t="shared" si="3"/>
        <v>115.18</v>
      </c>
      <c r="P30" s="7">
        <f t="shared" si="4"/>
        <v>105.78799999999998</v>
      </c>
      <c r="Q30" s="8">
        <f t="shared" si="5"/>
        <v>0.47874805401687115</v>
      </c>
    </row>
    <row r="31" spans="1:17" ht="15" customHeight="1" x14ac:dyDescent="0.3">
      <c r="A31" t="s">
        <v>139</v>
      </c>
      <c r="B31" s="6">
        <v>45588</v>
      </c>
      <c r="C31" t="s">
        <v>77</v>
      </c>
      <c r="D31" t="s">
        <v>117</v>
      </c>
      <c r="E31" t="s">
        <v>140</v>
      </c>
      <c r="F31" t="s">
        <v>90</v>
      </c>
      <c r="G31" t="s">
        <v>75</v>
      </c>
      <c r="H31">
        <v>5</v>
      </c>
      <c r="I31" s="7">
        <v>141.07</v>
      </c>
      <c r="J31" s="8">
        <v>0</v>
      </c>
      <c r="K31" s="7">
        <v>71.209999999999994</v>
      </c>
      <c r="L31" s="7">
        <f t="shared" si="0"/>
        <v>705.34999999999991</v>
      </c>
      <c r="M31" s="7">
        <f t="shared" si="1"/>
        <v>0</v>
      </c>
      <c r="N31" s="7">
        <f t="shared" si="2"/>
        <v>705.34999999999991</v>
      </c>
      <c r="O31" s="7">
        <f t="shared" si="3"/>
        <v>356.04999999999995</v>
      </c>
      <c r="P31" s="7">
        <f t="shared" si="4"/>
        <v>349.29999999999995</v>
      </c>
      <c r="Q31" s="8">
        <f t="shared" si="5"/>
        <v>0.49521514141915363</v>
      </c>
    </row>
    <row r="32" spans="1:17" ht="15" customHeight="1" x14ac:dyDescent="0.3">
      <c r="A32" t="s">
        <v>141</v>
      </c>
      <c r="B32" s="6">
        <v>45396</v>
      </c>
      <c r="C32" t="s">
        <v>93</v>
      </c>
      <c r="D32" t="s">
        <v>80</v>
      </c>
      <c r="E32" t="s">
        <v>138</v>
      </c>
      <c r="F32" t="s">
        <v>82</v>
      </c>
      <c r="G32" t="s">
        <v>142</v>
      </c>
      <c r="H32">
        <v>3</v>
      </c>
      <c r="I32" s="7">
        <v>247.16</v>
      </c>
      <c r="J32" s="8">
        <v>0.05</v>
      </c>
      <c r="K32" s="7">
        <v>115.28</v>
      </c>
      <c r="L32" s="7">
        <f t="shared" si="0"/>
        <v>741.48</v>
      </c>
      <c r="M32" s="7">
        <f t="shared" si="1"/>
        <v>37.074000000000005</v>
      </c>
      <c r="N32" s="7">
        <f t="shared" si="2"/>
        <v>704.40600000000006</v>
      </c>
      <c r="O32" s="7">
        <f t="shared" si="3"/>
        <v>345.84000000000003</v>
      </c>
      <c r="P32" s="7">
        <f t="shared" si="4"/>
        <v>358.56600000000003</v>
      </c>
      <c r="Q32" s="8">
        <f t="shared" si="5"/>
        <v>0.50903314281820422</v>
      </c>
    </row>
    <row r="33" spans="1:17" ht="15" customHeight="1" x14ac:dyDescent="0.3">
      <c r="A33" t="s">
        <v>143</v>
      </c>
      <c r="B33" s="6">
        <v>45296</v>
      </c>
      <c r="C33" t="s">
        <v>102</v>
      </c>
      <c r="D33" t="s">
        <v>117</v>
      </c>
      <c r="E33" t="s">
        <v>121</v>
      </c>
      <c r="F33" t="s">
        <v>82</v>
      </c>
      <c r="G33" t="s">
        <v>94</v>
      </c>
      <c r="H33">
        <v>5</v>
      </c>
      <c r="I33" s="7">
        <v>128</v>
      </c>
      <c r="J33" s="8">
        <v>0</v>
      </c>
      <c r="K33" s="7">
        <v>53.54</v>
      </c>
      <c r="L33" s="7">
        <f t="shared" si="0"/>
        <v>640</v>
      </c>
      <c r="M33" s="7">
        <f t="shared" si="1"/>
        <v>0</v>
      </c>
      <c r="N33" s="7">
        <f t="shared" si="2"/>
        <v>640</v>
      </c>
      <c r="O33" s="7">
        <f t="shared" si="3"/>
        <v>267.7</v>
      </c>
      <c r="P33" s="7">
        <f t="shared" si="4"/>
        <v>372.3</v>
      </c>
      <c r="Q33" s="8">
        <f t="shared" si="5"/>
        <v>0.58171875000000006</v>
      </c>
    </row>
    <row r="34" spans="1:17" ht="15" customHeight="1" x14ac:dyDescent="0.3">
      <c r="A34" t="s">
        <v>144</v>
      </c>
      <c r="B34" s="6">
        <v>45327</v>
      </c>
      <c r="C34" t="s">
        <v>71</v>
      </c>
      <c r="D34" t="s">
        <v>117</v>
      </c>
      <c r="E34" t="s">
        <v>118</v>
      </c>
      <c r="F34" t="s">
        <v>74</v>
      </c>
      <c r="G34" t="s">
        <v>87</v>
      </c>
      <c r="H34">
        <v>3</v>
      </c>
      <c r="I34" s="7">
        <v>168.41</v>
      </c>
      <c r="J34" s="8">
        <v>0.1</v>
      </c>
      <c r="K34" s="7">
        <v>74.010000000000005</v>
      </c>
      <c r="L34" s="7">
        <f t="shared" si="0"/>
        <v>505.23</v>
      </c>
      <c r="M34" s="7">
        <f t="shared" si="1"/>
        <v>50.523000000000003</v>
      </c>
      <c r="N34" s="7">
        <f t="shared" si="2"/>
        <v>454.70699999999999</v>
      </c>
      <c r="O34" s="7">
        <f t="shared" si="3"/>
        <v>222.03000000000003</v>
      </c>
      <c r="P34" s="7">
        <f t="shared" si="4"/>
        <v>232.67699999999996</v>
      </c>
      <c r="Q34" s="8">
        <f t="shared" si="5"/>
        <v>0.51170753914058942</v>
      </c>
    </row>
    <row r="35" spans="1:17" ht="15" customHeight="1" x14ac:dyDescent="0.3">
      <c r="A35" t="s">
        <v>145</v>
      </c>
      <c r="B35" s="6">
        <v>45296</v>
      </c>
      <c r="C35" t="s">
        <v>93</v>
      </c>
      <c r="D35" t="s">
        <v>80</v>
      </c>
      <c r="E35" t="s">
        <v>89</v>
      </c>
      <c r="F35" t="s">
        <v>90</v>
      </c>
      <c r="G35" t="s">
        <v>114</v>
      </c>
      <c r="H35">
        <v>5</v>
      </c>
      <c r="I35" s="7">
        <v>246.86</v>
      </c>
      <c r="J35" s="8">
        <v>0.1</v>
      </c>
      <c r="K35" s="7">
        <v>156.25</v>
      </c>
      <c r="L35" s="7">
        <f t="shared" si="0"/>
        <v>1234.3000000000002</v>
      </c>
      <c r="M35" s="7">
        <f t="shared" si="1"/>
        <v>123.43000000000002</v>
      </c>
      <c r="N35" s="7">
        <f t="shared" si="2"/>
        <v>1110.8700000000001</v>
      </c>
      <c r="O35" s="7">
        <f t="shared" si="3"/>
        <v>781.25</v>
      </c>
      <c r="P35" s="7">
        <f t="shared" si="4"/>
        <v>329.62000000000012</v>
      </c>
      <c r="Q35" s="8">
        <f t="shared" si="5"/>
        <v>0.29672238875836066</v>
      </c>
    </row>
    <row r="36" spans="1:17" ht="15" customHeight="1" x14ac:dyDescent="0.3">
      <c r="A36" t="s">
        <v>146</v>
      </c>
      <c r="B36" s="6">
        <v>45575</v>
      </c>
      <c r="C36" t="s">
        <v>71</v>
      </c>
      <c r="D36" t="s">
        <v>72</v>
      </c>
      <c r="E36" t="s">
        <v>125</v>
      </c>
      <c r="F36" t="s">
        <v>74</v>
      </c>
      <c r="G36" t="s">
        <v>94</v>
      </c>
      <c r="H36">
        <v>3</v>
      </c>
      <c r="I36" s="7">
        <v>659.49</v>
      </c>
      <c r="J36" s="8">
        <v>0.2</v>
      </c>
      <c r="K36" s="7">
        <v>298.52</v>
      </c>
      <c r="L36" s="7">
        <f t="shared" si="0"/>
        <v>1978.47</v>
      </c>
      <c r="M36" s="7">
        <f t="shared" si="1"/>
        <v>395.69400000000002</v>
      </c>
      <c r="N36" s="7">
        <f t="shared" si="2"/>
        <v>1582.7760000000001</v>
      </c>
      <c r="O36" s="7">
        <f t="shared" si="3"/>
        <v>895.56</v>
      </c>
      <c r="P36" s="7">
        <f t="shared" si="4"/>
        <v>687.21600000000012</v>
      </c>
      <c r="Q36" s="8">
        <f t="shared" si="5"/>
        <v>0.43418399065944902</v>
      </c>
    </row>
    <row r="37" spans="1:17" ht="15" customHeight="1" x14ac:dyDescent="0.3">
      <c r="A37" t="s">
        <v>147</v>
      </c>
      <c r="B37" s="6">
        <v>45420</v>
      </c>
      <c r="C37" t="s">
        <v>71</v>
      </c>
      <c r="D37" t="s">
        <v>85</v>
      </c>
      <c r="E37" t="s">
        <v>103</v>
      </c>
      <c r="F37" t="s">
        <v>90</v>
      </c>
      <c r="G37" t="s">
        <v>91</v>
      </c>
      <c r="H37">
        <v>1</v>
      </c>
      <c r="I37" s="7">
        <v>498.49</v>
      </c>
      <c r="J37" s="8">
        <v>0</v>
      </c>
      <c r="K37" s="7">
        <v>278.44</v>
      </c>
      <c r="L37" s="7">
        <f t="shared" si="0"/>
        <v>498.49</v>
      </c>
      <c r="M37" s="7">
        <f t="shared" si="1"/>
        <v>0</v>
      </c>
      <c r="N37" s="7">
        <f t="shared" si="2"/>
        <v>498.49</v>
      </c>
      <c r="O37" s="7">
        <f t="shared" si="3"/>
        <v>278.44</v>
      </c>
      <c r="P37" s="7">
        <f t="shared" si="4"/>
        <v>220.05</v>
      </c>
      <c r="Q37" s="8">
        <f t="shared" si="5"/>
        <v>0.44143312804670104</v>
      </c>
    </row>
    <row r="38" spans="1:17" ht="15" customHeight="1" x14ac:dyDescent="0.3">
      <c r="A38" t="s">
        <v>148</v>
      </c>
      <c r="B38" s="6">
        <v>45618</v>
      </c>
      <c r="C38" t="s">
        <v>77</v>
      </c>
      <c r="D38" t="s">
        <v>85</v>
      </c>
      <c r="E38" t="s">
        <v>100</v>
      </c>
      <c r="F38" t="s">
        <v>82</v>
      </c>
      <c r="G38" t="s">
        <v>106</v>
      </c>
      <c r="H38">
        <v>2</v>
      </c>
      <c r="I38" s="7">
        <v>519.34</v>
      </c>
      <c r="J38" s="8">
        <v>0.15</v>
      </c>
      <c r="K38" s="7">
        <v>279.36</v>
      </c>
      <c r="L38" s="7">
        <f t="shared" si="0"/>
        <v>1038.68</v>
      </c>
      <c r="M38" s="7">
        <f t="shared" si="1"/>
        <v>155.80199999999999</v>
      </c>
      <c r="N38" s="7">
        <f t="shared" si="2"/>
        <v>882.87800000000004</v>
      </c>
      <c r="O38" s="7">
        <f t="shared" si="3"/>
        <v>558.72</v>
      </c>
      <c r="P38" s="7">
        <f t="shared" si="4"/>
        <v>324.15800000000002</v>
      </c>
      <c r="Q38" s="8">
        <f t="shared" si="5"/>
        <v>0.36716058164321685</v>
      </c>
    </row>
    <row r="39" spans="1:17" ht="15" customHeight="1" x14ac:dyDescent="0.3">
      <c r="A39" t="s">
        <v>149</v>
      </c>
      <c r="B39" s="6">
        <v>45645</v>
      </c>
      <c r="C39" t="s">
        <v>77</v>
      </c>
      <c r="D39" t="s">
        <v>108</v>
      </c>
      <c r="E39" t="s">
        <v>109</v>
      </c>
      <c r="F39" t="s">
        <v>74</v>
      </c>
      <c r="G39" t="s">
        <v>94</v>
      </c>
      <c r="H39">
        <v>18</v>
      </c>
      <c r="I39" s="7">
        <v>35.58</v>
      </c>
      <c r="J39" s="8">
        <v>0</v>
      </c>
      <c r="K39" s="7">
        <v>21.66</v>
      </c>
      <c r="L39" s="7">
        <f t="shared" si="0"/>
        <v>640.43999999999994</v>
      </c>
      <c r="M39" s="7">
        <f t="shared" si="1"/>
        <v>0</v>
      </c>
      <c r="N39" s="7">
        <f t="shared" si="2"/>
        <v>640.43999999999994</v>
      </c>
      <c r="O39" s="7">
        <f t="shared" si="3"/>
        <v>389.88</v>
      </c>
      <c r="P39" s="7">
        <f t="shared" si="4"/>
        <v>250.55999999999995</v>
      </c>
      <c r="Q39" s="8">
        <f t="shared" si="5"/>
        <v>0.39123102866779086</v>
      </c>
    </row>
    <row r="40" spans="1:17" ht="15" customHeight="1" x14ac:dyDescent="0.3">
      <c r="A40" t="s">
        <v>150</v>
      </c>
      <c r="B40" s="6">
        <v>45313</v>
      </c>
      <c r="C40" t="s">
        <v>79</v>
      </c>
      <c r="D40" t="s">
        <v>80</v>
      </c>
      <c r="E40" t="s">
        <v>138</v>
      </c>
      <c r="F40" t="s">
        <v>82</v>
      </c>
      <c r="G40" t="s">
        <v>106</v>
      </c>
      <c r="H40">
        <v>1</v>
      </c>
      <c r="I40" s="7">
        <v>189.32</v>
      </c>
      <c r="J40" s="8">
        <v>0.1</v>
      </c>
      <c r="K40" s="7">
        <v>85.67</v>
      </c>
      <c r="L40" s="7">
        <f t="shared" si="0"/>
        <v>189.32</v>
      </c>
      <c r="M40" s="7">
        <f t="shared" si="1"/>
        <v>18.931999999999999</v>
      </c>
      <c r="N40" s="7">
        <f t="shared" si="2"/>
        <v>170.38800000000001</v>
      </c>
      <c r="O40" s="7">
        <f t="shared" si="3"/>
        <v>85.67</v>
      </c>
      <c r="P40" s="7">
        <f t="shared" si="4"/>
        <v>84.718000000000004</v>
      </c>
      <c r="Q40" s="8">
        <f t="shared" si="5"/>
        <v>0.49720637603587109</v>
      </c>
    </row>
    <row r="41" spans="1:17" ht="15" customHeight="1" x14ac:dyDescent="0.3">
      <c r="A41" t="s">
        <v>151</v>
      </c>
      <c r="B41" s="6">
        <v>45609</v>
      </c>
      <c r="C41" t="s">
        <v>71</v>
      </c>
      <c r="D41" t="s">
        <v>117</v>
      </c>
      <c r="E41" t="s">
        <v>131</v>
      </c>
      <c r="F41" t="s">
        <v>90</v>
      </c>
      <c r="G41" t="s">
        <v>135</v>
      </c>
      <c r="H41">
        <v>2</v>
      </c>
      <c r="I41" s="7">
        <v>155.94999999999999</v>
      </c>
      <c r="J41" s="8">
        <v>0.05</v>
      </c>
      <c r="K41" s="7">
        <v>100.44</v>
      </c>
      <c r="L41" s="7">
        <f t="shared" si="0"/>
        <v>311.89999999999998</v>
      </c>
      <c r="M41" s="7">
        <f t="shared" si="1"/>
        <v>15.594999999999999</v>
      </c>
      <c r="N41" s="7">
        <f t="shared" si="2"/>
        <v>296.30499999999995</v>
      </c>
      <c r="O41" s="7">
        <f t="shared" si="3"/>
        <v>200.88</v>
      </c>
      <c r="P41" s="7">
        <f t="shared" si="4"/>
        <v>95.424999999999955</v>
      </c>
      <c r="Q41" s="8">
        <f t="shared" si="5"/>
        <v>0.32204991478375311</v>
      </c>
    </row>
    <row r="42" spans="1:17" ht="15" customHeight="1" x14ac:dyDescent="0.3">
      <c r="A42" t="s">
        <v>152</v>
      </c>
      <c r="B42" s="6">
        <v>45502</v>
      </c>
      <c r="C42" t="s">
        <v>77</v>
      </c>
      <c r="D42" t="s">
        <v>117</v>
      </c>
      <c r="E42" t="s">
        <v>140</v>
      </c>
      <c r="F42" t="s">
        <v>74</v>
      </c>
      <c r="G42" t="s">
        <v>87</v>
      </c>
      <c r="H42">
        <v>2</v>
      </c>
      <c r="I42" s="7">
        <v>161.01</v>
      </c>
      <c r="J42" s="8">
        <v>0.1</v>
      </c>
      <c r="K42" s="7">
        <v>70.81</v>
      </c>
      <c r="L42" s="7">
        <f t="shared" si="0"/>
        <v>322.02</v>
      </c>
      <c r="M42" s="7">
        <f t="shared" si="1"/>
        <v>32.201999999999998</v>
      </c>
      <c r="N42" s="7">
        <f t="shared" si="2"/>
        <v>289.81799999999998</v>
      </c>
      <c r="O42" s="7">
        <f t="shared" si="3"/>
        <v>141.62</v>
      </c>
      <c r="P42" s="7">
        <f t="shared" si="4"/>
        <v>148.19799999999998</v>
      </c>
      <c r="Q42" s="8">
        <f t="shared" si="5"/>
        <v>0.51134850147333843</v>
      </c>
    </row>
    <row r="43" spans="1:17" ht="15" customHeight="1" x14ac:dyDescent="0.3">
      <c r="A43" t="s">
        <v>153</v>
      </c>
      <c r="B43" s="6">
        <v>45394</v>
      </c>
      <c r="C43" t="s">
        <v>77</v>
      </c>
      <c r="D43" t="s">
        <v>72</v>
      </c>
      <c r="E43" t="s">
        <v>96</v>
      </c>
      <c r="F43" t="s">
        <v>82</v>
      </c>
      <c r="G43" t="s">
        <v>75</v>
      </c>
      <c r="H43">
        <v>4</v>
      </c>
      <c r="I43" s="7">
        <v>1082.6199999999999</v>
      </c>
      <c r="J43" s="8">
        <v>0.1</v>
      </c>
      <c r="K43" s="7">
        <v>515.65</v>
      </c>
      <c r="L43" s="7">
        <f t="shared" si="0"/>
        <v>4330.4799999999996</v>
      </c>
      <c r="M43" s="7">
        <f t="shared" si="1"/>
        <v>433.048</v>
      </c>
      <c r="N43" s="7">
        <f t="shared" si="2"/>
        <v>3897.4319999999998</v>
      </c>
      <c r="O43" s="7">
        <f t="shared" si="3"/>
        <v>2062.6</v>
      </c>
      <c r="P43" s="7">
        <f t="shared" si="4"/>
        <v>1834.8319999999999</v>
      </c>
      <c r="Q43" s="8">
        <f t="shared" si="5"/>
        <v>0.47077973393762867</v>
      </c>
    </row>
    <row r="44" spans="1:17" ht="15" customHeight="1" x14ac:dyDescent="0.3">
      <c r="A44" t="s">
        <v>154</v>
      </c>
      <c r="B44" s="6">
        <v>45496</v>
      </c>
      <c r="C44" t="s">
        <v>77</v>
      </c>
      <c r="D44" t="s">
        <v>117</v>
      </c>
      <c r="E44" t="s">
        <v>133</v>
      </c>
      <c r="F44" t="s">
        <v>90</v>
      </c>
      <c r="G44" t="s">
        <v>75</v>
      </c>
      <c r="H44">
        <v>1</v>
      </c>
      <c r="I44" s="7">
        <v>115.51</v>
      </c>
      <c r="J44" s="8">
        <v>0.1</v>
      </c>
      <c r="K44" s="7">
        <v>56.34</v>
      </c>
      <c r="L44" s="7">
        <f t="shared" si="0"/>
        <v>115.51</v>
      </c>
      <c r="M44" s="7">
        <f t="shared" si="1"/>
        <v>11.551000000000002</v>
      </c>
      <c r="N44" s="7">
        <f t="shared" si="2"/>
        <v>103.959</v>
      </c>
      <c r="O44" s="7">
        <f t="shared" si="3"/>
        <v>56.34</v>
      </c>
      <c r="P44" s="7">
        <f t="shared" si="4"/>
        <v>47.619</v>
      </c>
      <c r="Q44" s="8">
        <f t="shared" si="5"/>
        <v>0.45805557960349752</v>
      </c>
    </row>
    <row r="45" spans="1:17" ht="15" customHeight="1" x14ac:dyDescent="0.3">
      <c r="A45" t="s">
        <v>155</v>
      </c>
      <c r="B45" s="6">
        <v>45351</v>
      </c>
      <c r="C45" t="s">
        <v>93</v>
      </c>
      <c r="D45" t="s">
        <v>80</v>
      </c>
      <c r="E45" t="s">
        <v>81</v>
      </c>
      <c r="F45" t="s">
        <v>82</v>
      </c>
      <c r="G45" t="s">
        <v>110</v>
      </c>
      <c r="H45">
        <v>3</v>
      </c>
      <c r="I45" s="7">
        <v>280.33</v>
      </c>
      <c r="J45" s="8">
        <v>0.05</v>
      </c>
      <c r="K45" s="7">
        <v>152.82</v>
      </c>
      <c r="L45" s="7">
        <f t="shared" si="0"/>
        <v>840.99</v>
      </c>
      <c r="M45" s="7">
        <f t="shared" si="1"/>
        <v>42.049500000000002</v>
      </c>
      <c r="N45" s="7">
        <f t="shared" si="2"/>
        <v>798.94050000000004</v>
      </c>
      <c r="O45" s="7">
        <f t="shared" si="3"/>
        <v>458.46</v>
      </c>
      <c r="P45" s="7">
        <f t="shared" si="4"/>
        <v>340.48050000000006</v>
      </c>
      <c r="Q45" s="8">
        <f t="shared" si="5"/>
        <v>0.42616502730804112</v>
      </c>
    </row>
    <row r="46" spans="1:17" ht="15" customHeight="1" x14ac:dyDescent="0.3">
      <c r="A46" t="s">
        <v>156</v>
      </c>
      <c r="B46" s="6">
        <v>45468</v>
      </c>
      <c r="C46" t="s">
        <v>77</v>
      </c>
      <c r="D46" t="s">
        <v>85</v>
      </c>
      <c r="E46" t="s">
        <v>100</v>
      </c>
      <c r="F46" t="s">
        <v>90</v>
      </c>
      <c r="G46" t="s">
        <v>135</v>
      </c>
      <c r="H46">
        <v>3</v>
      </c>
      <c r="I46" s="7">
        <v>448.99</v>
      </c>
      <c r="J46" s="8">
        <v>0.15</v>
      </c>
      <c r="K46" s="7">
        <v>247.64</v>
      </c>
      <c r="L46" s="7">
        <f t="shared" si="0"/>
        <v>1346.97</v>
      </c>
      <c r="M46" s="7">
        <f t="shared" si="1"/>
        <v>202.0455</v>
      </c>
      <c r="N46" s="7">
        <f t="shared" si="2"/>
        <v>1144.9245000000001</v>
      </c>
      <c r="O46" s="7">
        <f t="shared" si="3"/>
        <v>742.92</v>
      </c>
      <c r="P46" s="7">
        <f t="shared" si="4"/>
        <v>402.00450000000012</v>
      </c>
      <c r="Q46" s="8">
        <f t="shared" si="5"/>
        <v>0.35111878556184278</v>
      </c>
    </row>
    <row r="47" spans="1:17" ht="15" customHeight="1" x14ac:dyDescent="0.3">
      <c r="A47" t="s">
        <v>157</v>
      </c>
      <c r="B47" s="6">
        <v>45422</v>
      </c>
      <c r="C47" t="s">
        <v>102</v>
      </c>
      <c r="D47" t="s">
        <v>80</v>
      </c>
      <c r="E47" t="s">
        <v>113</v>
      </c>
      <c r="F47" t="s">
        <v>90</v>
      </c>
      <c r="G47" t="s">
        <v>75</v>
      </c>
      <c r="H47">
        <v>4</v>
      </c>
      <c r="I47" s="7">
        <v>147.1</v>
      </c>
      <c r="J47" s="8">
        <v>0</v>
      </c>
      <c r="K47" s="7">
        <v>77.959999999999994</v>
      </c>
      <c r="L47" s="7">
        <f t="shared" si="0"/>
        <v>588.4</v>
      </c>
      <c r="M47" s="7">
        <f t="shared" si="1"/>
        <v>0</v>
      </c>
      <c r="N47" s="7">
        <f t="shared" si="2"/>
        <v>588.4</v>
      </c>
      <c r="O47" s="7">
        <f t="shared" si="3"/>
        <v>311.83999999999997</v>
      </c>
      <c r="P47" s="7">
        <f t="shared" si="4"/>
        <v>276.56</v>
      </c>
      <c r="Q47" s="8">
        <f t="shared" si="5"/>
        <v>0.47002039428959891</v>
      </c>
    </row>
    <row r="48" spans="1:17" ht="15" customHeight="1" x14ac:dyDescent="0.3">
      <c r="A48" t="s">
        <v>158</v>
      </c>
      <c r="B48" s="6">
        <v>45632</v>
      </c>
      <c r="C48" t="s">
        <v>71</v>
      </c>
      <c r="D48" t="s">
        <v>80</v>
      </c>
      <c r="E48" t="s">
        <v>159</v>
      </c>
      <c r="F48" t="s">
        <v>82</v>
      </c>
      <c r="G48" t="s">
        <v>94</v>
      </c>
      <c r="H48">
        <v>5</v>
      </c>
      <c r="I48" s="7">
        <v>287.32</v>
      </c>
      <c r="J48" s="8">
        <v>0.1</v>
      </c>
      <c r="K48" s="7">
        <v>162.58000000000001</v>
      </c>
      <c r="L48" s="7">
        <f t="shared" si="0"/>
        <v>1436.6</v>
      </c>
      <c r="M48" s="7">
        <f t="shared" si="1"/>
        <v>143.66</v>
      </c>
      <c r="N48" s="7">
        <f t="shared" si="2"/>
        <v>1292.9399999999998</v>
      </c>
      <c r="O48" s="7">
        <f t="shared" si="3"/>
        <v>812.90000000000009</v>
      </c>
      <c r="P48" s="7">
        <f t="shared" si="4"/>
        <v>480.03999999999974</v>
      </c>
      <c r="Q48" s="8">
        <f t="shared" si="5"/>
        <v>0.37127786285519809</v>
      </c>
    </row>
    <row r="49" spans="1:17" ht="15" customHeight="1" x14ac:dyDescent="0.3">
      <c r="A49" t="s">
        <v>160</v>
      </c>
      <c r="B49" s="6">
        <v>45459</v>
      </c>
      <c r="C49" t="s">
        <v>93</v>
      </c>
      <c r="D49" t="s">
        <v>72</v>
      </c>
      <c r="E49" t="s">
        <v>123</v>
      </c>
      <c r="F49" t="s">
        <v>82</v>
      </c>
      <c r="G49" t="s">
        <v>135</v>
      </c>
      <c r="H49">
        <v>3</v>
      </c>
      <c r="I49" s="7">
        <v>817.54</v>
      </c>
      <c r="J49" s="8">
        <v>0.2</v>
      </c>
      <c r="K49" s="7">
        <v>353.03</v>
      </c>
      <c r="L49" s="7">
        <f t="shared" si="0"/>
        <v>2452.62</v>
      </c>
      <c r="M49" s="7">
        <f t="shared" si="1"/>
        <v>490.524</v>
      </c>
      <c r="N49" s="7">
        <f t="shared" si="2"/>
        <v>1962.096</v>
      </c>
      <c r="O49" s="7">
        <f t="shared" si="3"/>
        <v>1059.0899999999999</v>
      </c>
      <c r="P49" s="7">
        <f t="shared" si="4"/>
        <v>903.00600000000009</v>
      </c>
      <c r="Q49" s="8">
        <f t="shared" si="5"/>
        <v>0.46022518775839716</v>
      </c>
    </row>
    <row r="50" spans="1:17" ht="15" customHeight="1" x14ac:dyDescent="0.3">
      <c r="A50" t="s">
        <v>161</v>
      </c>
      <c r="B50" s="6">
        <v>45446</v>
      </c>
      <c r="C50" t="s">
        <v>79</v>
      </c>
      <c r="D50" t="s">
        <v>108</v>
      </c>
      <c r="E50" t="s">
        <v>162</v>
      </c>
      <c r="F50" t="s">
        <v>90</v>
      </c>
      <c r="G50" t="s">
        <v>83</v>
      </c>
      <c r="H50">
        <v>1</v>
      </c>
      <c r="I50" s="7">
        <v>25.62</v>
      </c>
      <c r="J50" s="8">
        <v>0.1</v>
      </c>
      <c r="K50" s="7">
        <v>12.09</v>
      </c>
      <c r="L50" s="7">
        <f t="shared" si="0"/>
        <v>25.62</v>
      </c>
      <c r="M50" s="7">
        <f t="shared" si="1"/>
        <v>2.5620000000000003</v>
      </c>
      <c r="N50" s="7">
        <f t="shared" si="2"/>
        <v>23.058</v>
      </c>
      <c r="O50" s="7">
        <f t="shared" si="3"/>
        <v>12.09</v>
      </c>
      <c r="P50" s="7">
        <f t="shared" si="4"/>
        <v>10.968</v>
      </c>
      <c r="Q50" s="8">
        <f t="shared" si="5"/>
        <v>0.47567004944054125</v>
      </c>
    </row>
    <row r="51" spans="1:17" ht="15" customHeight="1" x14ac:dyDescent="0.3">
      <c r="A51" t="s">
        <v>163</v>
      </c>
      <c r="B51" s="6">
        <v>45530</v>
      </c>
      <c r="C51" t="s">
        <v>93</v>
      </c>
      <c r="D51" t="s">
        <v>108</v>
      </c>
      <c r="E51" t="s">
        <v>109</v>
      </c>
      <c r="F51" t="s">
        <v>90</v>
      </c>
      <c r="G51" t="s">
        <v>87</v>
      </c>
      <c r="H51">
        <v>7</v>
      </c>
      <c r="I51" s="7">
        <v>26.34</v>
      </c>
      <c r="J51" s="8">
        <v>0.2</v>
      </c>
      <c r="K51" s="7">
        <v>13.65</v>
      </c>
      <c r="L51" s="7">
        <f t="shared" si="0"/>
        <v>184.38</v>
      </c>
      <c r="M51" s="7">
        <f t="shared" si="1"/>
        <v>36.875999999999998</v>
      </c>
      <c r="N51" s="7">
        <f t="shared" si="2"/>
        <v>147.50399999999999</v>
      </c>
      <c r="O51" s="7">
        <f t="shared" si="3"/>
        <v>95.55</v>
      </c>
      <c r="P51" s="7">
        <f t="shared" si="4"/>
        <v>51.953999999999994</v>
      </c>
      <c r="Q51" s="8">
        <f t="shared" si="5"/>
        <v>0.35222095671981773</v>
      </c>
    </row>
    <row r="52" spans="1:17" ht="15" customHeight="1" x14ac:dyDescent="0.3">
      <c r="A52" t="s">
        <v>164</v>
      </c>
      <c r="B52" s="6">
        <v>45463</v>
      </c>
      <c r="C52" t="s">
        <v>71</v>
      </c>
      <c r="D52" t="s">
        <v>117</v>
      </c>
      <c r="E52" t="s">
        <v>131</v>
      </c>
      <c r="F52" t="s">
        <v>90</v>
      </c>
      <c r="G52" t="s">
        <v>83</v>
      </c>
      <c r="H52">
        <v>2</v>
      </c>
      <c r="I52" s="7">
        <v>92.97</v>
      </c>
      <c r="J52" s="8">
        <v>0.1</v>
      </c>
      <c r="K52" s="7">
        <v>42.41</v>
      </c>
      <c r="L52" s="7">
        <f t="shared" si="0"/>
        <v>185.94</v>
      </c>
      <c r="M52" s="7">
        <f t="shared" si="1"/>
        <v>18.594000000000001</v>
      </c>
      <c r="N52" s="7">
        <f t="shared" si="2"/>
        <v>167.346</v>
      </c>
      <c r="O52" s="7">
        <f t="shared" si="3"/>
        <v>84.82</v>
      </c>
      <c r="P52" s="7">
        <f t="shared" si="4"/>
        <v>82.52600000000001</v>
      </c>
      <c r="Q52" s="8">
        <f t="shared" si="5"/>
        <v>0.49314593716013533</v>
      </c>
    </row>
    <row r="53" spans="1:17" ht="15" customHeight="1" x14ac:dyDescent="0.3">
      <c r="A53" t="s">
        <v>165</v>
      </c>
      <c r="B53" s="6">
        <v>45535</v>
      </c>
      <c r="C53" t="s">
        <v>77</v>
      </c>
      <c r="D53" t="s">
        <v>117</v>
      </c>
      <c r="E53" t="s">
        <v>133</v>
      </c>
      <c r="F53" t="s">
        <v>74</v>
      </c>
      <c r="G53" t="s">
        <v>75</v>
      </c>
      <c r="H53">
        <v>1</v>
      </c>
      <c r="I53" s="7">
        <v>142.68</v>
      </c>
      <c r="J53" s="8">
        <v>0.15</v>
      </c>
      <c r="K53" s="7">
        <v>71.86</v>
      </c>
      <c r="L53" s="7">
        <f t="shared" si="0"/>
        <v>142.68</v>
      </c>
      <c r="M53" s="7">
        <f t="shared" si="1"/>
        <v>21.402000000000001</v>
      </c>
      <c r="N53" s="7">
        <f t="shared" si="2"/>
        <v>121.27800000000001</v>
      </c>
      <c r="O53" s="7">
        <f t="shared" si="3"/>
        <v>71.86</v>
      </c>
      <c r="P53" s="7">
        <f t="shared" si="4"/>
        <v>49.418000000000006</v>
      </c>
      <c r="Q53" s="8">
        <f t="shared" si="5"/>
        <v>0.40747703623080861</v>
      </c>
    </row>
    <row r="54" spans="1:17" ht="15" customHeight="1" x14ac:dyDescent="0.3">
      <c r="A54" t="s">
        <v>166</v>
      </c>
      <c r="B54" s="6">
        <v>45416</v>
      </c>
      <c r="C54" t="s">
        <v>102</v>
      </c>
      <c r="D54" t="s">
        <v>80</v>
      </c>
      <c r="E54" t="s">
        <v>159</v>
      </c>
      <c r="F54" t="s">
        <v>82</v>
      </c>
      <c r="G54" t="s">
        <v>135</v>
      </c>
      <c r="H54">
        <v>1</v>
      </c>
      <c r="I54" s="7">
        <v>163.61000000000001</v>
      </c>
      <c r="J54" s="8">
        <v>0</v>
      </c>
      <c r="K54" s="7">
        <v>97.28</v>
      </c>
      <c r="L54" s="7">
        <f t="shared" si="0"/>
        <v>163.61000000000001</v>
      </c>
      <c r="M54" s="7">
        <f t="shared" si="1"/>
        <v>0</v>
      </c>
      <c r="N54" s="7">
        <f t="shared" si="2"/>
        <v>163.61000000000001</v>
      </c>
      <c r="O54" s="7">
        <f t="shared" si="3"/>
        <v>97.28</v>
      </c>
      <c r="P54" s="7">
        <f t="shared" si="4"/>
        <v>66.330000000000013</v>
      </c>
      <c r="Q54" s="8">
        <f t="shared" si="5"/>
        <v>0.4054153169121692</v>
      </c>
    </row>
    <row r="55" spans="1:17" ht="15" customHeight="1" x14ac:dyDescent="0.3">
      <c r="A55" t="s">
        <v>167</v>
      </c>
      <c r="B55" s="6">
        <v>45577</v>
      </c>
      <c r="C55" t="s">
        <v>93</v>
      </c>
      <c r="D55" t="s">
        <v>117</v>
      </c>
      <c r="E55" t="s">
        <v>133</v>
      </c>
      <c r="F55" t="s">
        <v>82</v>
      </c>
      <c r="G55" t="s">
        <v>110</v>
      </c>
      <c r="H55">
        <v>1</v>
      </c>
      <c r="I55" s="7">
        <v>107.92</v>
      </c>
      <c r="J55" s="8">
        <v>0.15</v>
      </c>
      <c r="K55" s="7">
        <v>46.77</v>
      </c>
      <c r="L55" s="7">
        <f t="shared" si="0"/>
        <v>107.92</v>
      </c>
      <c r="M55" s="7">
        <f t="shared" si="1"/>
        <v>16.187999999999999</v>
      </c>
      <c r="N55" s="7">
        <f t="shared" si="2"/>
        <v>91.731999999999999</v>
      </c>
      <c r="O55" s="7">
        <f t="shared" si="3"/>
        <v>46.77</v>
      </c>
      <c r="P55" s="7">
        <f t="shared" si="4"/>
        <v>44.961999999999996</v>
      </c>
      <c r="Q55" s="8">
        <f t="shared" si="5"/>
        <v>0.49014520559891855</v>
      </c>
    </row>
    <row r="56" spans="1:17" ht="15" customHeight="1" x14ac:dyDescent="0.3">
      <c r="A56" t="s">
        <v>168</v>
      </c>
      <c r="B56" s="6">
        <v>45518</v>
      </c>
      <c r="C56" t="s">
        <v>93</v>
      </c>
      <c r="D56" t="s">
        <v>108</v>
      </c>
      <c r="E56" t="s">
        <v>109</v>
      </c>
      <c r="F56" t="s">
        <v>90</v>
      </c>
      <c r="G56" t="s">
        <v>87</v>
      </c>
      <c r="H56">
        <v>17</v>
      </c>
      <c r="I56" s="7">
        <v>29.75</v>
      </c>
      <c r="J56" s="8">
        <v>0.15</v>
      </c>
      <c r="K56" s="7">
        <v>18.079999999999998</v>
      </c>
      <c r="L56" s="7">
        <f t="shared" si="0"/>
        <v>505.75</v>
      </c>
      <c r="M56" s="7">
        <f t="shared" si="1"/>
        <v>75.862499999999997</v>
      </c>
      <c r="N56" s="7">
        <f t="shared" si="2"/>
        <v>429.88749999999999</v>
      </c>
      <c r="O56" s="7">
        <f t="shared" si="3"/>
        <v>307.35999999999996</v>
      </c>
      <c r="P56" s="7">
        <f t="shared" si="4"/>
        <v>122.52750000000003</v>
      </c>
      <c r="Q56" s="8">
        <f t="shared" si="5"/>
        <v>0.28502224419179445</v>
      </c>
    </row>
    <row r="57" spans="1:17" ht="15" customHeight="1" x14ac:dyDescent="0.3">
      <c r="A57" t="s">
        <v>169</v>
      </c>
      <c r="B57" s="6">
        <v>45522</v>
      </c>
      <c r="C57" t="s">
        <v>79</v>
      </c>
      <c r="D57" t="s">
        <v>80</v>
      </c>
      <c r="E57" t="s">
        <v>81</v>
      </c>
      <c r="F57" t="s">
        <v>90</v>
      </c>
      <c r="G57" t="s">
        <v>91</v>
      </c>
      <c r="H57">
        <v>2</v>
      </c>
      <c r="I57" s="7">
        <v>181.47</v>
      </c>
      <c r="J57" s="8">
        <v>0.1</v>
      </c>
      <c r="K57" s="7">
        <v>107.33</v>
      </c>
      <c r="L57" s="7">
        <f t="shared" si="0"/>
        <v>362.94</v>
      </c>
      <c r="M57" s="7">
        <f t="shared" si="1"/>
        <v>36.294000000000004</v>
      </c>
      <c r="N57" s="7">
        <f t="shared" si="2"/>
        <v>326.64600000000002</v>
      </c>
      <c r="O57" s="7">
        <f t="shared" si="3"/>
        <v>214.66</v>
      </c>
      <c r="P57" s="7">
        <f t="shared" si="4"/>
        <v>111.98600000000002</v>
      </c>
      <c r="Q57" s="8">
        <f t="shared" si="5"/>
        <v>0.34283597533721527</v>
      </c>
    </row>
    <row r="58" spans="1:17" ht="15" customHeight="1" x14ac:dyDescent="0.3">
      <c r="A58" t="s">
        <v>170</v>
      </c>
      <c r="B58" s="6">
        <v>45331</v>
      </c>
      <c r="C58" t="s">
        <v>79</v>
      </c>
      <c r="D58" t="s">
        <v>80</v>
      </c>
      <c r="E58" t="s">
        <v>81</v>
      </c>
      <c r="F58" t="s">
        <v>82</v>
      </c>
      <c r="G58" t="s">
        <v>91</v>
      </c>
      <c r="H58">
        <v>2</v>
      </c>
      <c r="I58" s="7">
        <v>254.17</v>
      </c>
      <c r="J58" s="8">
        <v>0.1</v>
      </c>
      <c r="K58" s="7">
        <v>123.01</v>
      </c>
      <c r="L58" s="7">
        <f t="shared" si="0"/>
        <v>508.34</v>
      </c>
      <c r="M58" s="7">
        <f t="shared" si="1"/>
        <v>50.834000000000003</v>
      </c>
      <c r="N58" s="7">
        <f t="shared" si="2"/>
        <v>457.50599999999997</v>
      </c>
      <c r="O58" s="7">
        <f t="shared" si="3"/>
        <v>246.02</v>
      </c>
      <c r="P58" s="7">
        <f t="shared" si="4"/>
        <v>211.48599999999996</v>
      </c>
      <c r="Q58" s="8">
        <f t="shared" si="5"/>
        <v>0.46225841846882876</v>
      </c>
    </row>
    <row r="59" spans="1:17" ht="15" customHeight="1" x14ac:dyDescent="0.3">
      <c r="A59" t="s">
        <v>171</v>
      </c>
      <c r="B59" s="6">
        <v>45488</v>
      </c>
      <c r="C59" t="s">
        <v>79</v>
      </c>
      <c r="D59" t="s">
        <v>80</v>
      </c>
      <c r="E59" t="s">
        <v>113</v>
      </c>
      <c r="F59" t="s">
        <v>74</v>
      </c>
      <c r="G59" t="s">
        <v>75</v>
      </c>
      <c r="H59">
        <v>2</v>
      </c>
      <c r="I59" s="7">
        <v>251.03</v>
      </c>
      <c r="J59" s="8">
        <v>0</v>
      </c>
      <c r="K59" s="7">
        <v>126.45</v>
      </c>
      <c r="L59" s="7">
        <f t="shared" si="0"/>
        <v>502.06</v>
      </c>
      <c r="M59" s="7">
        <f t="shared" si="1"/>
        <v>0</v>
      </c>
      <c r="N59" s="7">
        <f t="shared" si="2"/>
        <v>502.06</v>
      </c>
      <c r="O59" s="7">
        <f t="shared" si="3"/>
        <v>252.9</v>
      </c>
      <c r="P59" s="7">
        <f t="shared" si="4"/>
        <v>249.16</v>
      </c>
      <c r="Q59" s="8">
        <f t="shared" si="5"/>
        <v>0.49627534557622593</v>
      </c>
    </row>
    <row r="60" spans="1:17" ht="15" customHeight="1" x14ac:dyDescent="0.3">
      <c r="A60" t="s">
        <v>172</v>
      </c>
      <c r="B60" s="6">
        <v>45397</v>
      </c>
      <c r="C60" t="s">
        <v>102</v>
      </c>
      <c r="D60" t="s">
        <v>85</v>
      </c>
      <c r="E60" t="s">
        <v>173</v>
      </c>
      <c r="F60" t="s">
        <v>82</v>
      </c>
      <c r="G60" t="s">
        <v>110</v>
      </c>
      <c r="H60">
        <v>4</v>
      </c>
      <c r="I60" s="7">
        <v>478.21</v>
      </c>
      <c r="J60" s="8">
        <v>0.2</v>
      </c>
      <c r="K60" s="7">
        <v>304.39</v>
      </c>
      <c r="L60" s="7">
        <f t="shared" si="0"/>
        <v>1912.84</v>
      </c>
      <c r="M60" s="7">
        <f t="shared" si="1"/>
        <v>382.56799999999998</v>
      </c>
      <c r="N60" s="7">
        <f t="shared" si="2"/>
        <v>1530.2719999999999</v>
      </c>
      <c r="O60" s="7">
        <f t="shared" si="3"/>
        <v>1217.56</v>
      </c>
      <c r="P60" s="7">
        <f t="shared" si="4"/>
        <v>312.71199999999999</v>
      </c>
      <c r="Q60" s="8">
        <f t="shared" si="5"/>
        <v>0.20435059910917797</v>
      </c>
    </row>
    <row r="61" spans="1:17" ht="15" customHeight="1" x14ac:dyDescent="0.3">
      <c r="A61" t="s">
        <v>174</v>
      </c>
      <c r="B61" s="6">
        <v>45472</v>
      </c>
      <c r="C61" t="s">
        <v>102</v>
      </c>
      <c r="D61" t="s">
        <v>72</v>
      </c>
      <c r="E61" t="s">
        <v>98</v>
      </c>
      <c r="F61" t="s">
        <v>82</v>
      </c>
      <c r="G61" t="s">
        <v>110</v>
      </c>
      <c r="H61">
        <v>4</v>
      </c>
      <c r="I61" s="7">
        <v>751.11</v>
      </c>
      <c r="J61" s="8">
        <v>0.15</v>
      </c>
      <c r="K61" s="7">
        <v>401.51</v>
      </c>
      <c r="L61" s="7">
        <f t="shared" si="0"/>
        <v>3004.44</v>
      </c>
      <c r="M61" s="7">
        <f t="shared" si="1"/>
        <v>450.666</v>
      </c>
      <c r="N61" s="7">
        <f t="shared" si="2"/>
        <v>2553.7739999999999</v>
      </c>
      <c r="O61" s="7">
        <f t="shared" si="3"/>
        <v>1606.04</v>
      </c>
      <c r="P61" s="7">
        <f t="shared" si="4"/>
        <v>947.73399999999992</v>
      </c>
      <c r="Q61" s="8">
        <f t="shared" si="5"/>
        <v>0.37111114765832842</v>
      </c>
    </row>
    <row r="62" spans="1:17" ht="15" customHeight="1" x14ac:dyDescent="0.3">
      <c r="A62" t="s">
        <v>175</v>
      </c>
      <c r="B62" s="6">
        <v>45431</v>
      </c>
      <c r="C62" t="s">
        <v>79</v>
      </c>
      <c r="D62" t="s">
        <v>80</v>
      </c>
      <c r="E62" t="s">
        <v>138</v>
      </c>
      <c r="F62" t="s">
        <v>82</v>
      </c>
      <c r="G62" t="s">
        <v>75</v>
      </c>
      <c r="H62">
        <v>1</v>
      </c>
      <c r="I62" s="7">
        <v>209.73</v>
      </c>
      <c r="J62" s="8">
        <v>0.15</v>
      </c>
      <c r="K62" s="7">
        <v>101.52</v>
      </c>
      <c r="L62" s="7">
        <f t="shared" si="0"/>
        <v>209.73</v>
      </c>
      <c r="M62" s="7">
        <f t="shared" si="1"/>
        <v>31.459499999999998</v>
      </c>
      <c r="N62" s="7">
        <f t="shared" si="2"/>
        <v>178.2705</v>
      </c>
      <c r="O62" s="7">
        <f t="shared" si="3"/>
        <v>101.52</v>
      </c>
      <c r="P62" s="7">
        <f t="shared" si="4"/>
        <v>76.750500000000002</v>
      </c>
      <c r="Q62" s="8">
        <f t="shared" si="5"/>
        <v>0.43052832633554067</v>
      </c>
    </row>
    <row r="63" spans="1:17" ht="15" customHeight="1" x14ac:dyDescent="0.3">
      <c r="A63" t="s">
        <v>176</v>
      </c>
      <c r="B63" s="6">
        <v>45565</v>
      </c>
      <c r="C63" t="s">
        <v>102</v>
      </c>
      <c r="D63" t="s">
        <v>108</v>
      </c>
      <c r="E63" t="s">
        <v>177</v>
      </c>
      <c r="F63" t="s">
        <v>74</v>
      </c>
      <c r="G63" t="s">
        <v>83</v>
      </c>
      <c r="H63">
        <v>13</v>
      </c>
      <c r="I63" s="7">
        <v>18.04</v>
      </c>
      <c r="J63" s="8">
        <v>0.2</v>
      </c>
      <c r="K63" s="7">
        <v>9.76</v>
      </c>
      <c r="L63" s="7">
        <f t="shared" si="0"/>
        <v>234.51999999999998</v>
      </c>
      <c r="M63" s="7">
        <f t="shared" si="1"/>
        <v>46.903999999999996</v>
      </c>
      <c r="N63" s="7">
        <f t="shared" si="2"/>
        <v>187.61599999999999</v>
      </c>
      <c r="O63" s="7">
        <f t="shared" si="3"/>
        <v>126.88</v>
      </c>
      <c r="P63" s="7">
        <f t="shared" si="4"/>
        <v>60.73599999999999</v>
      </c>
      <c r="Q63" s="8">
        <f t="shared" si="5"/>
        <v>0.32372505543237245</v>
      </c>
    </row>
    <row r="64" spans="1:17" ht="15" customHeight="1" x14ac:dyDescent="0.3">
      <c r="A64" t="s">
        <v>178</v>
      </c>
      <c r="B64" s="6">
        <v>45385</v>
      </c>
      <c r="C64" t="s">
        <v>102</v>
      </c>
      <c r="D64" t="s">
        <v>72</v>
      </c>
      <c r="E64" t="s">
        <v>73</v>
      </c>
      <c r="F64" t="s">
        <v>74</v>
      </c>
      <c r="G64" t="s">
        <v>91</v>
      </c>
      <c r="H64">
        <v>4</v>
      </c>
      <c r="I64" s="7">
        <v>592.17999999999995</v>
      </c>
      <c r="J64" s="8">
        <v>0.1</v>
      </c>
      <c r="K64" s="7">
        <v>268.20999999999998</v>
      </c>
      <c r="L64" s="7">
        <f t="shared" si="0"/>
        <v>2368.7199999999998</v>
      </c>
      <c r="M64" s="7">
        <f t="shared" si="1"/>
        <v>236.87199999999999</v>
      </c>
      <c r="N64" s="7">
        <f t="shared" si="2"/>
        <v>2131.848</v>
      </c>
      <c r="O64" s="7">
        <f t="shared" si="3"/>
        <v>1072.8399999999999</v>
      </c>
      <c r="P64" s="7">
        <f t="shared" si="4"/>
        <v>1059.008</v>
      </c>
      <c r="Q64" s="8">
        <f t="shared" si="5"/>
        <v>0.49675586627189183</v>
      </c>
    </row>
    <row r="65" spans="1:17" ht="15" customHeight="1" x14ac:dyDescent="0.3">
      <c r="A65" t="s">
        <v>179</v>
      </c>
      <c r="B65" s="6">
        <v>45421</v>
      </c>
      <c r="C65" t="s">
        <v>102</v>
      </c>
      <c r="D65" t="s">
        <v>85</v>
      </c>
      <c r="E65" t="s">
        <v>86</v>
      </c>
      <c r="F65" t="s">
        <v>82</v>
      </c>
      <c r="G65" t="s">
        <v>135</v>
      </c>
      <c r="H65">
        <v>4</v>
      </c>
      <c r="I65" s="7">
        <v>478.78</v>
      </c>
      <c r="J65" s="8">
        <v>0</v>
      </c>
      <c r="K65" s="7">
        <v>281.17</v>
      </c>
      <c r="L65" s="7">
        <f t="shared" si="0"/>
        <v>1915.12</v>
      </c>
      <c r="M65" s="7">
        <f t="shared" si="1"/>
        <v>0</v>
      </c>
      <c r="N65" s="7">
        <f t="shared" si="2"/>
        <v>1915.12</v>
      </c>
      <c r="O65" s="7">
        <f t="shared" si="3"/>
        <v>1124.68</v>
      </c>
      <c r="P65" s="7">
        <f t="shared" si="4"/>
        <v>790.43999999999983</v>
      </c>
      <c r="Q65" s="8">
        <f t="shared" si="5"/>
        <v>0.41273653870253557</v>
      </c>
    </row>
    <row r="66" spans="1:17" ht="15" customHeight="1" x14ac:dyDescent="0.3">
      <c r="A66" t="s">
        <v>180</v>
      </c>
      <c r="B66" s="6">
        <v>45625</v>
      </c>
      <c r="C66" t="s">
        <v>79</v>
      </c>
      <c r="D66" t="s">
        <v>72</v>
      </c>
      <c r="E66" t="s">
        <v>123</v>
      </c>
      <c r="F66" t="s">
        <v>90</v>
      </c>
      <c r="G66" t="s">
        <v>94</v>
      </c>
      <c r="H66">
        <v>1</v>
      </c>
      <c r="I66" s="7">
        <v>585.77</v>
      </c>
      <c r="J66" s="8">
        <v>0.05</v>
      </c>
      <c r="K66" s="7">
        <v>263.5</v>
      </c>
      <c r="L66" s="7">
        <f t="shared" ref="L66:L129" si="6">H66*I66</f>
        <v>585.77</v>
      </c>
      <c r="M66" s="7">
        <f t="shared" ref="M66:M129" si="7">L66*J66</f>
        <v>29.288499999999999</v>
      </c>
      <c r="N66" s="7">
        <f t="shared" ref="N66:N129" si="8">L66-M66</f>
        <v>556.48149999999998</v>
      </c>
      <c r="O66" s="7">
        <f t="shared" ref="O66:O129" si="9">H66*K66</f>
        <v>263.5</v>
      </c>
      <c r="P66" s="7">
        <f t="shared" ref="P66:P129" si="10">N66-O66</f>
        <v>292.98149999999998</v>
      </c>
      <c r="Q66" s="8">
        <f t="shared" ref="Q66:Q129" si="11">IF(N66=0,0,P66/N66)</f>
        <v>0.52648920044961067</v>
      </c>
    </row>
    <row r="67" spans="1:17" ht="15" customHeight="1" x14ac:dyDescent="0.3">
      <c r="A67" t="s">
        <v>181</v>
      </c>
      <c r="B67" s="6">
        <v>45534</v>
      </c>
      <c r="C67" t="s">
        <v>79</v>
      </c>
      <c r="D67" t="s">
        <v>72</v>
      </c>
      <c r="E67" t="s">
        <v>98</v>
      </c>
      <c r="F67" t="s">
        <v>74</v>
      </c>
      <c r="G67" t="s">
        <v>106</v>
      </c>
      <c r="H67">
        <v>5</v>
      </c>
      <c r="I67" s="7">
        <v>988.45</v>
      </c>
      <c r="J67" s="8">
        <v>0.05</v>
      </c>
      <c r="K67" s="7">
        <v>510.3</v>
      </c>
      <c r="L67" s="7">
        <f t="shared" si="6"/>
        <v>4942.25</v>
      </c>
      <c r="M67" s="7">
        <f t="shared" si="7"/>
        <v>247.11250000000001</v>
      </c>
      <c r="N67" s="7">
        <f t="shared" si="8"/>
        <v>4695.1374999999998</v>
      </c>
      <c r="O67" s="7">
        <f t="shared" si="9"/>
        <v>2551.5</v>
      </c>
      <c r="P67" s="7">
        <f t="shared" si="10"/>
        <v>2143.6374999999998</v>
      </c>
      <c r="Q67" s="8">
        <f t="shared" si="11"/>
        <v>0.45656543604952993</v>
      </c>
    </row>
    <row r="68" spans="1:17" ht="15" customHeight="1" x14ac:dyDescent="0.3">
      <c r="A68" t="s">
        <v>182</v>
      </c>
      <c r="B68" s="6">
        <v>45350</v>
      </c>
      <c r="C68" t="s">
        <v>79</v>
      </c>
      <c r="D68" t="s">
        <v>85</v>
      </c>
      <c r="E68" t="s">
        <v>86</v>
      </c>
      <c r="F68" t="s">
        <v>90</v>
      </c>
      <c r="G68" t="s">
        <v>83</v>
      </c>
      <c r="H68">
        <v>2</v>
      </c>
      <c r="I68" s="7">
        <v>462.78</v>
      </c>
      <c r="J68" s="8">
        <v>0.1</v>
      </c>
      <c r="K68" s="7">
        <v>197.62</v>
      </c>
      <c r="L68" s="7">
        <f t="shared" si="6"/>
        <v>925.56</v>
      </c>
      <c r="M68" s="7">
        <f t="shared" si="7"/>
        <v>92.555999999999997</v>
      </c>
      <c r="N68" s="7">
        <f t="shared" si="8"/>
        <v>833.00399999999991</v>
      </c>
      <c r="O68" s="7">
        <f t="shared" si="9"/>
        <v>395.24</v>
      </c>
      <c r="P68" s="7">
        <f t="shared" si="10"/>
        <v>437.7639999999999</v>
      </c>
      <c r="Q68" s="8">
        <f t="shared" si="11"/>
        <v>0.525524487277372</v>
      </c>
    </row>
    <row r="69" spans="1:17" ht="15" customHeight="1" x14ac:dyDescent="0.3">
      <c r="A69" t="s">
        <v>183</v>
      </c>
      <c r="B69" s="6">
        <v>45495</v>
      </c>
      <c r="C69" t="s">
        <v>93</v>
      </c>
      <c r="D69" t="s">
        <v>72</v>
      </c>
      <c r="E69" t="s">
        <v>123</v>
      </c>
      <c r="F69" t="s">
        <v>90</v>
      </c>
      <c r="G69" t="s">
        <v>135</v>
      </c>
      <c r="H69">
        <v>2</v>
      </c>
      <c r="I69" s="7">
        <v>1162.54</v>
      </c>
      <c r="J69" s="8">
        <v>0</v>
      </c>
      <c r="K69" s="7">
        <v>637.1</v>
      </c>
      <c r="L69" s="7">
        <f t="shared" si="6"/>
        <v>2325.08</v>
      </c>
      <c r="M69" s="7">
        <f t="shared" si="7"/>
        <v>0</v>
      </c>
      <c r="N69" s="7">
        <f t="shared" si="8"/>
        <v>2325.08</v>
      </c>
      <c r="O69" s="7">
        <f t="shared" si="9"/>
        <v>1274.2</v>
      </c>
      <c r="P69" s="7">
        <f t="shared" si="10"/>
        <v>1050.8799999999999</v>
      </c>
      <c r="Q69" s="8">
        <f t="shared" si="11"/>
        <v>0.45197584599239593</v>
      </c>
    </row>
    <row r="70" spans="1:17" ht="15" customHeight="1" x14ac:dyDescent="0.3">
      <c r="A70" t="s">
        <v>184</v>
      </c>
      <c r="B70" s="6">
        <v>45353</v>
      </c>
      <c r="C70" t="s">
        <v>71</v>
      </c>
      <c r="D70" t="s">
        <v>117</v>
      </c>
      <c r="E70" t="s">
        <v>131</v>
      </c>
      <c r="F70" t="s">
        <v>90</v>
      </c>
      <c r="G70" t="s">
        <v>83</v>
      </c>
      <c r="H70">
        <v>5</v>
      </c>
      <c r="I70" s="7">
        <v>160.44</v>
      </c>
      <c r="J70" s="8">
        <v>0</v>
      </c>
      <c r="K70" s="7">
        <v>78.099999999999994</v>
      </c>
      <c r="L70" s="7">
        <f t="shared" si="6"/>
        <v>802.2</v>
      </c>
      <c r="M70" s="7">
        <f t="shared" si="7"/>
        <v>0</v>
      </c>
      <c r="N70" s="7">
        <f t="shared" si="8"/>
        <v>802.2</v>
      </c>
      <c r="O70" s="7">
        <f t="shared" si="9"/>
        <v>390.5</v>
      </c>
      <c r="P70" s="7">
        <f t="shared" si="10"/>
        <v>411.70000000000005</v>
      </c>
      <c r="Q70" s="8">
        <f t="shared" si="11"/>
        <v>0.51321366242832211</v>
      </c>
    </row>
    <row r="71" spans="1:17" ht="15" customHeight="1" x14ac:dyDescent="0.3">
      <c r="A71" t="s">
        <v>185</v>
      </c>
      <c r="B71" s="6">
        <v>45298</v>
      </c>
      <c r="C71" t="s">
        <v>77</v>
      </c>
      <c r="D71" t="s">
        <v>108</v>
      </c>
      <c r="E71" t="s">
        <v>128</v>
      </c>
      <c r="F71" t="s">
        <v>90</v>
      </c>
      <c r="G71" t="s">
        <v>87</v>
      </c>
      <c r="H71">
        <v>16</v>
      </c>
      <c r="I71" s="7">
        <v>34.49</v>
      </c>
      <c r="J71" s="8">
        <v>0</v>
      </c>
      <c r="K71" s="7">
        <v>17.53</v>
      </c>
      <c r="L71" s="7">
        <f t="shared" si="6"/>
        <v>551.84</v>
      </c>
      <c r="M71" s="7">
        <f t="shared" si="7"/>
        <v>0</v>
      </c>
      <c r="N71" s="7">
        <f t="shared" si="8"/>
        <v>551.84</v>
      </c>
      <c r="O71" s="7">
        <f t="shared" si="9"/>
        <v>280.48</v>
      </c>
      <c r="P71" s="7">
        <f t="shared" si="10"/>
        <v>271.36</v>
      </c>
      <c r="Q71" s="8">
        <f t="shared" si="11"/>
        <v>0.49173673528559003</v>
      </c>
    </row>
    <row r="72" spans="1:17" ht="15" customHeight="1" x14ac:dyDescent="0.3">
      <c r="A72" t="s">
        <v>186</v>
      </c>
      <c r="B72" s="6">
        <v>45559</v>
      </c>
      <c r="C72" t="s">
        <v>79</v>
      </c>
      <c r="D72" t="s">
        <v>85</v>
      </c>
      <c r="E72" t="s">
        <v>187</v>
      </c>
      <c r="F72" t="s">
        <v>82</v>
      </c>
      <c r="G72" t="s">
        <v>106</v>
      </c>
      <c r="H72">
        <v>3</v>
      </c>
      <c r="I72" s="7">
        <v>515.33000000000004</v>
      </c>
      <c r="J72" s="8">
        <v>0.2</v>
      </c>
      <c r="K72" s="7">
        <v>310.25</v>
      </c>
      <c r="L72" s="7">
        <f t="shared" si="6"/>
        <v>1545.9900000000002</v>
      </c>
      <c r="M72" s="7">
        <f t="shared" si="7"/>
        <v>309.19800000000009</v>
      </c>
      <c r="N72" s="7">
        <f t="shared" si="8"/>
        <v>1236.7920000000001</v>
      </c>
      <c r="O72" s="7">
        <f t="shared" si="9"/>
        <v>930.75</v>
      </c>
      <c r="P72" s="7">
        <f t="shared" si="10"/>
        <v>306.04200000000014</v>
      </c>
      <c r="Q72" s="8">
        <f t="shared" si="11"/>
        <v>0.24744823705198618</v>
      </c>
    </row>
    <row r="73" spans="1:17" ht="15" customHeight="1" x14ac:dyDescent="0.3">
      <c r="A73" t="s">
        <v>188</v>
      </c>
      <c r="B73" s="6">
        <v>45429</v>
      </c>
      <c r="C73" t="s">
        <v>102</v>
      </c>
      <c r="D73" t="s">
        <v>80</v>
      </c>
      <c r="E73" t="s">
        <v>81</v>
      </c>
      <c r="F73" t="s">
        <v>82</v>
      </c>
      <c r="G73" t="s">
        <v>83</v>
      </c>
      <c r="H73">
        <v>2</v>
      </c>
      <c r="I73" s="7">
        <v>191.57</v>
      </c>
      <c r="J73" s="8">
        <v>0</v>
      </c>
      <c r="K73" s="7">
        <v>89.99</v>
      </c>
      <c r="L73" s="7">
        <f t="shared" si="6"/>
        <v>383.14</v>
      </c>
      <c r="M73" s="7">
        <f t="shared" si="7"/>
        <v>0</v>
      </c>
      <c r="N73" s="7">
        <f t="shared" si="8"/>
        <v>383.14</v>
      </c>
      <c r="O73" s="7">
        <f t="shared" si="9"/>
        <v>179.98</v>
      </c>
      <c r="P73" s="7">
        <f t="shared" si="10"/>
        <v>203.16</v>
      </c>
      <c r="Q73" s="8">
        <f t="shared" si="11"/>
        <v>0.5302500391501801</v>
      </c>
    </row>
    <row r="74" spans="1:17" ht="15" customHeight="1" x14ac:dyDescent="0.3">
      <c r="A74" t="s">
        <v>189</v>
      </c>
      <c r="B74" s="6">
        <v>45634</v>
      </c>
      <c r="C74" t="s">
        <v>102</v>
      </c>
      <c r="D74" t="s">
        <v>108</v>
      </c>
      <c r="E74" t="s">
        <v>177</v>
      </c>
      <c r="F74" t="s">
        <v>90</v>
      </c>
      <c r="G74" t="s">
        <v>83</v>
      </c>
      <c r="H74">
        <v>1</v>
      </c>
      <c r="I74" s="7">
        <v>25.08</v>
      </c>
      <c r="J74" s="8">
        <v>0.15</v>
      </c>
      <c r="K74" s="7">
        <v>15.37</v>
      </c>
      <c r="L74" s="7">
        <f t="shared" si="6"/>
        <v>25.08</v>
      </c>
      <c r="M74" s="7">
        <f t="shared" si="7"/>
        <v>3.7619999999999996</v>
      </c>
      <c r="N74" s="7">
        <f t="shared" si="8"/>
        <v>21.317999999999998</v>
      </c>
      <c r="O74" s="7">
        <f t="shared" si="9"/>
        <v>15.37</v>
      </c>
      <c r="P74" s="7">
        <f t="shared" si="10"/>
        <v>5.9479999999999986</v>
      </c>
      <c r="Q74" s="8">
        <f t="shared" si="11"/>
        <v>0.27901304062294768</v>
      </c>
    </row>
    <row r="75" spans="1:17" ht="15" customHeight="1" x14ac:dyDescent="0.3">
      <c r="A75" t="s">
        <v>190</v>
      </c>
      <c r="B75" s="6">
        <v>45466</v>
      </c>
      <c r="C75" t="s">
        <v>79</v>
      </c>
      <c r="D75" t="s">
        <v>117</v>
      </c>
      <c r="E75" t="s">
        <v>140</v>
      </c>
      <c r="F75" t="s">
        <v>82</v>
      </c>
      <c r="G75" t="s">
        <v>142</v>
      </c>
      <c r="H75">
        <v>5</v>
      </c>
      <c r="I75" s="7">
        <v>110.85</v>
      </c>
      <c r="J75" s="8">
        <v>0.1</v>
      </c>
      <c r="K75" s="7">
        <v>59.74</v>
      </c>
      <c r="L75" s="7">
        <f t="shared" si="6"/>
        <v>554.25</v>
      </c>
      <c r="M75" s="7">
        <f t="shared" si="7"/>
        <v>55.425000000000004</v>
      </c>
      <c r="N75" s="7">
        <f t="shared" si="8"/>
        <v>498.82499999999999</v>
      </c>
      <c r="O75" s="7">
        <f t="shared" si="9"/>
        <v>298.7</v>
      </c>
      <c r="P75" s="7">
        <f t="shared" si="10"/>
        <v>200.125</v>
      </c>
      <c r="Q75" s="8">
        <f t="shared" si="11"/>
        <v>0.40119280308725508</v>
      </c>
    </row>
    <row r="76" spans="1:17" ht="15" customHeight="1" x14ac:dyDescent="0.3">
      <c r="A76" t="s">
        <v>191</v>
      </c>
      <c r="B76" s="6">
        <v>45542</v>
      </c>
      <c r="C76" t="s">
        <v>77</v>
      </c>
      <c r="D76" t="s">
        <v>80</v>
      </c>
      <c r="E76" t="s">
        <v>159</v>
      </c>
      <c r="F76" t="s">
        <v>74</v>
      </c>
      <c r="G76" t="s">
        <v>135</v>
      </c>
      <c r="H76">
        <v>2</v>
      </c>
      <c r="I76" s="7">
        <v>228.83</v>
      </c>
      <c r="J76" s="8">
        <v>0.15</v>
      </c>
      <c r="K76" s="7">
        <v>128.47999999999999</v>
      </c>
      <c r="L76" s="7">
        <f t="shared" si="6"/>
        <v>457.66</v>
      </c>
      <c r="M76" s="7">
        <f t="shared" si="7"/>
        <v>68.649000000000001</v>
      </c>
      <c r="N76" s="7">
        <f t="shared" si="8"/>
        <v>389.01100000000002</v>
      </c>
      <c r="O76" s="7">
        <f t="shared" si="9"/>
        <v>256.95999999999998</v>
      </c>
      <c r="P76" s="7">
        <f t="shared" si="10"/>
        <v>132.05100000000004</v>
      </c>
      <c r="Q76" s="8">
        <f t="shared" si="11"/>
        <v>0.33945312600414906</v>
      </c>
    </row>
    <row r="77" spans="1:17" ht="15" customHeight="1" x14ac:dyDescent="0.3">
      <c r="A77" t="s">
        <v>192</v>
      </c>
      <c r="B77" s="6">
        <v>45405</v>
      </c>
      <c r="C77" t="s">
        <v>77</v>
      </c>
      <c r="D77" t="s">
        <v>108</v>
      </c>
      <c r="E77" t="s">
        <v>162</v>
      </c>
      <c r="F77" t="s">
        <v>74</v>
      </c>
      <c r="G77" t="s">
        <v>142</v>
      </c>
      <c r="H77">
        <v>8</v>
      </c>
      <c r="I77" s="7">
        <v>25.59</v>
      </c>
      <c r="J77" s="8">
        <v>0.1</v>
      </c>
      <c r="K77" s="7">
        <v>14.48</v>
      </c>
      <c r="L77" s="7">
        <f t="shared" si="6"/>
        <v>204.72</v>
      </c>
      <c r="M77" s="7">
        <f t="shared" si="7"/>
        <v>20.472000000000001</v>
      </c>
      <c r="N77" s="7">
        <f t="shared" si="8"/>
        <v>184.24799999999999</v>
      </c>
      <c r="O77" s="7">
        <f t="shared" si="9"/>
        <v>115.84</v>
      </c>
      <c r="P77" s="7">
        <f t="shared" si="10"/>
        <v>68.407999999999987</v>
      </c>
      <c r="Q77" s="8">
        <f t="shared" si="11"/>
        <v>0.37128218488124698</v>
      </c>
    </row>
    <row r="78" spans="1:17" ht="15" customHeight="1" x14ac:dyDescent="0.3">
      <c r="A78" t="s">
        <v>193</v>
      </c>
      <c r="B78" s="6">
        <v>45509</v>
      </c>
      <c r="C78" t="s">
        <v>93</v>
      </c>
      <c r="D78" t="s">
        <v>85</v>
      </c>
      <c r="E78" t="s">
        <v>187</v>
      </c>
      <c r="F78" t="s">
        <v>90</v>
      </c>
      <c r="G78" t="s">
        <v>87</v>
      </c>
      <c r="H78">
        <v>5</v>
      </c>
      <c r="I78" s="7">
        <v>524.05999999999995</v>
      </c>
      <c r="J78" s="8">
        <v>0.1</v>
      </c>
      <c r="K78" s="7">
        <v>255.72</v>
      </c>
      <c r="L78" s="7">
        <f t="shared" si="6"/>
        <v>2620.2999999999997</v>
      </c>
      <c r="M78" s="7">
        <f t="shared" si="7"/>
        <v>262.02999999999997</v>
      </c>
      <c r="N78" s="7">
        <f t="shared" si="8"/>
        <v>2358.2699999999995</v>
      </c>
      <c r="O78" s="7">
        <f t="shared" si="9"/>
        <v>1278.5999999999999</v>
      </c>
      <c r="P78" s="7">
        <f t="shared" si="10"/>
        <v>1079.6699999999996</v>
      </c>
      <c r="Q78" s="8">
        <f t="shared" si="11"/>
        <v>0.45782289559719619</v>
      </c>
    </row>
    <row r="79" spans="1:17" ht="15" customHeight="1" x14ac:dyDescent="0.3">
      <c r="A79" t="s">
        <v>194</v>
      </c>
      <c r="B79" s="6">
        <v>45353</v>
      </c>
      <c r="C79" t="s">
        <v>71</v>
      </c>
      <c r="D79" t="s">
        <v>108</v>
      </c>
      <c r="E79" t="s">
        <v>128</v>
      </c>
      <c r="F79" t="s">
        <v>82</v>
      </c>
      <c r="G79" t="s">
        <v>75</v>
      </c>
      <c r="H79">
        <v>11</v>
      </c>
      <c r="I79" s="7">
        <v>31.93</v>
      </c>
      <c r="J79" s="8">
        <v>0</v>
      </c>
      <c r="K79" s="7">
        <v>18.7</v>
      </c>
      <c r="L79" s="7">
        <f t="shared" si="6"/>
        <v>351.23</v>
      </c>
      <c r="M79" s="7">
        <f t="shared" si="7"/>
        <v>0</v>
      </c>
      <c r="N79" s="7">
        <f t="shared" si="8"/>
        <v>351.23</v>
      </c>
      <c r="O79" s="7">
        <f t="shared" si="9"/>
        <v>205.7</v>
      </c>
      <c r="P79" s="7">
        <f t="shared" si="10"/>
        <v>145.53000000000003</v>
      </c>
      <c r="Q79" s="8">
        <f t="shared" si="11"/>
        <v>0.41434387723144384</v>
      </c>
    </row>
    <row r="80" spans="1:17" ht="15" customHeight="1" x14ac:dyDescent="0.3">
      <c r="A80" t="s">
        <v>195</v>
      </c>
      <c r="B80" s="6">
        <v>45433</v>
      </c>
      <c r="C80" t="s">
        <v>79</v>
      </c>
      <c r="D80" t="s">
        <v>117</v>
      </c>
      <c r="E80" t="s">
        <v>133</v>
      </c>
      <c r="F80" t="s">
        <v>90</v>
      </c>
      <c r="G80" t="s">
        <v>91</v>
      </c>
      <c r="H80">
        <v>5</v>
      </c>
      <c r="I80" s="7">
        <v>153.56</v>
      </c>
      <c r="J80" s="8">
        <v>0.2</v>
      </c>
      <c r="K80" s="7">
        <v>72.290000000000006</v>
      </c>
      <c r="L80" s="7">
        <f t="shared" si="6"/>
        <v>767.8</v>
      </c>
      <c r="M80" s="7">
        <f t="shared" si="7"/>
        <v>153.56</v>
      </c>
      <c r="N80" s="7">
        <f t="shared" si="8"/>
        <v>614.24</v>
      </c>
      <c r="O80" s="7">
        <f t="shared" si="9"/>
        <v>361.45000000000005</v>
      </c>
      <c r="P80" s="7">
        <f t="shared" si="10"/>
        <v>252.78999999999996</v>
      </c>
      <c r="Q80" s="8">
        <f t="shared" si="11"/>
        <v>0.41154923157072149</v>
      </c>
    </row>
    <row r="81" spans="1:17" ht="15" customHeight="1" x14ac:dyDescent="0.3">
      <c r="A81" t="s">
        <v>196</v>
      </c>
      <c r="B81" s="6">
        <v>45383</v>
      </c>
      <c r="C81" t="s">
        <v>71</v>
      </c>
      <c r="D81" t="s">
        <v>72</v>
      </c>
      <c r="E81" t="s">
        <v>125</v>
      </c>
      <c r="F81" t="s">
        <v>74</v>
      </c>
      <c r="G81" t="s">
        <v>87</v>
      </c>
      <c r="H81">
        <v>5</v>
      </c>
      <c r="I81" s="7">
        <v>753.45</v>
      </c>
      <c r="J81" s="8">
        <v>0.05</v>
      </c>
      <c r="K81" s="7">
        <v>353.05</v>
      </c>
      <c r="L81" s="7">
        <f t="shared" si="6"/>
        <v>3767.25</v>
      </c>
      <c r="M81" s="7">
        <f t="shared" si="7"/>
        <v>188.36250000000001</v>
      </c>
      <c r="N81" s="7">
        <f t="shared" si="8"/>
        <v>3578.8874999999998</v>
      </c>
      <c r="O81" s="7">
        <f t="shared" si="9"/>
        <v>1765.25</v>
      </c>
      <c r="P81" s="7">
        <f t="shared" si="10"/>
        <v>1813.6374999999998</v>
      </c>
      <c r="Q81" s="8">
        <f t="shared" si="11"/>
        <v>0.50676013146543442</v>
      </c>
    </row>
    <row r="82" spans="1:17" ht="15" customHeight="1" x14ac:dyDescent="0.3">
      <c r="A82" t="s">
        <v>197</v>
      </c>
      <c r="B82" s="6">
        <v>45618</v>
      </c>
      <c r="C82" t="s">
        <v>71</v>
      </c>
      <c r="D82" t="s">
        <v>72</v>
      </c>
      <c r="E82" t="s">
        <v>98</v>
      </c>
      <c r="F82" t="s">
        <v>90</v>
      </c>
      <c r="G82" t="s">
        <v>106</v>
      </c>
      <c r="H82">
        <v>4</v>
      </c>
      <c r="I82" s="7">
        <v>1115.82</v>
      </c>
      <c r="J82" s="8">
        <v>0</v>
      </c>
      <c r="K82" s="7">
        <v>689.78</v>
      </c>
      <c r="L82" s="7">
        <f t="shared" si="6"/>
        <v>4463.28</v>
      </c>
      <c r="M82" s="7">
        <f t="shared" si="7"/>
        <v>0</v>
      </c>
      <c r="N82" s="7">
        <f t="shared" si="8"/>
        <v>4463.28</v>
      </c>
      <c r="O82" s="7">
        <f t="shared" si="9"/>
        <v>2759.12</v>
      </c>
      <c r="P82" s="7">
        <f t="shared" si="10"/>
        <v>1704.1599999999999</v>
      </c>
      <c r="Q82" s="8">
        <f t="shared" si="11"/>
        <v>0.38181785592658313</v>
      </c>
    </row>
    <row r="83" spans="1:17" ht="15" customHeight="1" x14ac:dyDescent="0.3">
      <c r="A83" t="s">
        <v>198</v>
      </c>
      <c r="B83" s="6">
        <v>45466</v>
      </c>
      <c r="C83" t="s">
        <v>102</v>
      </c>
      <c r="D83" t="s">
        <v>80</v>
      </c>
      <c r="E83" t="s">
        <v>89</v>
      </c>
      <c r="F83" t="s">
        <v>82</v>
      </c>
      <c r="G83" t="s">
        <v>91</v>
      </c>
      <c r="H83">
        <v>1</v>
      </c>
      <c r="I83" s="7">
        <v>169.5</v>
      </c>
      <c r="J83" s="8">
        <v>0.1</v>
      </c>
      <c r="K83" s="7">
        <v>107.68</v>
      </c>
      <c r="L83" s="7">
        <f t="shared" si="6"/>
        <v>169.5</v>
      </c>
      <c r="M83" s="7">
        <f t="shared" si="7"/>
        <v>16.95</v>
      </c>
      <c r="N83" s="7">
        <f t="shared" si="8"/>
        <v>152.55000000000001</v>
      </c>
      <c r="O83" s="7">
        <f t="shared" si="9"/>
        <v>107.68</v>
      </c>
      <c r="P83" s="7">
        <f t="shared" si="10"/>
        <v>44.870000000000005</v>
      </c>
      <c r="Q83" s="8">
        <f t="shared" si="11"/>
        <v>0.2941330711242216</v>
      </c>
    </row>
    <row r="84" spans="1:17" ht="15" customHeight="1" x14ac:dyDescent="0.3">
      <c r="A84" t="s">
        <v>199</v>
      </c>
      <c r="B84" s="6">
        <v>45329</v>
      </c>
      <c r="C84" t="s">
        <v>77</v>
      </c>
      <c r="D84" t="s">
        <v>108</v>
      </c>
      <c r="E84" t="s">
        <v>200</v>
      </c>
      <c r="F84" t="s">
        <v>82</v>
      </c>
      <c r="G84" t="s">
        <v>91</v>
      </c>
      <c r="H84">
        <v>2</v>
      </c>
      <c r="I84" s="7">
        <v>29.04</v>
      </c>
      <c r="J84" s="8">
        <v>0.05</v>
      </c>
      <c r="K84" s="7">
        <v>12.7</v>
      </c>
      <c r="L84" s="7">
        <f t="shared" si="6"/>
        <v>58.08</v>
      </c>
      <c r="M84" s="7">
        <f t="shared" si="7"/>
        <v>2.9039999999999999</v>
      </c>
      <c r="N84" s="7">
        <f t="shared" si="8"/>
        <v>55.176000000000002</v>
      </c>
      <c r="O84" s="7">
        <f t="shared" si="9"/>
        <v>25.4</v>
      </c>
      <c r="P84" s="7">
        <f t="shared" si="10"/>
        <v>29.776000000000003</v>
      </c>
      <c r="Q84" s="8">
        <f t="shared" si="11"/>
        <v>0.53965492243004209</v>
      </c>
    </row>
    <row r="85" spans="1:17" ht="15" customHeight="1" x14ac:dyDescent="0.3">
      <c r="A85" t="s">
        <v>201</v>
      </c>
      <c r="B85" s="6">
        <v>45577</v>
      </c>
      <c r="C85" t="s">
        <v>77</v>
      </c>
      <c r="D85" t="s">
        <v>80</v>
      </c>
      <c r="E85" t="s">
        <v>89</v>
      </c>
      <c r="F85" t="s">
        <v>74</v>
      </c>
      <c r="G85" t="s">
        <v>94</v>
      </c>
      <c r="H85">
        <v>5</v>
      </c>
      <c r="I85" s="7">
        <v>262.31</v>
      </c>
      <c r="J85" s="8">
        <v>0.2</v>
      </c>
      <c r="K85" s="7">
        <v>156.78</v>
      </c>
      <c r="L85" s="7">
        <f t="shared" si="6"/>
        <v>1311.55</v>
      </c>
      <c r="M85" s="7">
        <f t="shared" si="7"/>
        <v>262.31</v>
      </c>
      <c r="N85" s="7">
        <f t="shared" si="8"/>
        <v>1049.24</v>
      </c>
      <c r="O85" s="7">
        <f t="shared" si="9"/>
        <v>783.9</v>
      </c>
      <c r="P85" s="7">
        <f t="shared" si="10"/>
        <v>265.34000000000003</v>
      </c>
      <c r="Q85" s="8">
        <f t="shared" si="11"/>
        <v>0.25288780450611875</v>
      </c>
    </row>
    <row r="86" spans="1:17" ht="15" customHeight="1" x14ac:dyDescent="0.3">
      <c r="A86" t="s">
        <v>202</v>
      </c>
      <c r="B86" s="6">
        <v>45444</v>
      </c>
      <c r="C86" t="s">
        <v>102</v>
      </c>
      <c r="D86" t="s">
        <v>117</v>
      </c>
      <c r="E86" t="s">
        <v>118</v>
      </c>
      <c r="F86" t="s">
        <v>82</v>
      </c>
      <c r="G86" t="s">
        <v>91</v>
      </c>
      <c r="H86">
        <v>4</v>
      </c>
      <c r="I86" s="7">
        <v>166.58</v>
      </c>
      <c r="J86" s="8">
        <v>0.1</v>
      </c>
      <c r="K86" s="7">
        <v>90.31</v>
      </c>
      <c r="L86" s="7">
        <f t="shared" si="6"/>
        <v>666.32</v>
      </c>
      <c r="M86" s="7">
        <f t="shared" si="7"/>
        <v>66.632000000000005</v>
      </c>
      <c r="N86" s="7">
        <f t="shared" si="8"/>
        <v>599.6880000000001</v>
      </c>
      <c r="O86" s="7">
        <f t="shared" si="9"/>
        <v>361.24</v>
      </c>
      <c r="P86" s="7">
        <f t="shared" si="10"/>
        <v>238.44800000000009</v>
      </c>
      <c r="Q86" s="8">
        <f t="shared" si="11"/>
        <v>0.39762009578314067</v>
      </c>
    </row>
    <row r="87" spans="1:17" ht="15" customHeight="1" x14ac:dyDescent="0.3">
      <c r="A87" t="s">
        <v>203</v>
      </c>
      <c r="B87" s="6">
        <v>45427</v>
      </c>
      <c r="C87" t="s">
        <v>77</v>
      </c>
      <c r="D87" t="s">
        <v>72</v>
      </c>
      <c r="E87" t="s">
        <v>98</v>
      </c>
      <c r="F87" t="s">
        <v>74</v>
      </c>
      <c r="G87" t="s">
        <v>75</v>
      </c>
      <c r="H87">
        <v>2</v>
      </c>
      <c r="I87" s="7">
        <v>982.67</v>
      </c>
      <c r="J87" s="8">
        <v>0.05</v>
      </c>
      <c r="K87" s="7">
        <v>435.77</v>
      </c>
      <c r="L87" s="7">
        <f t="shared" si="6"/>
        <v>1965.34</v>
      </c>
      <c r="M87" s="7">
        <f t="shared" si="7"/>
        <v>98.266999999999996</v>
      </c>
      <c r="N87" s="7">
        <f t="shared" si="8"/>
        <v>1867.0729999999999</v>
      </c>
      <c r="O87" s="7">
        <f t="shared" si="9"/>
        <v>871.54</v>
      </c>
      <c r="P87" s="7">
        <f t="shared" si="10"/>
        <v>995.5329999999999</v>
      </c>
      <c r="Q87" s="8">
        <f t="shared" si="11"/>
        <v>0.53320518265756078</v>
      </c>
    </row>
    <row r="88" spans="1:17" ht="15" customHeight="1" x14ac:dyDescent="0.3">
      <c r="A88" t="s">
        <v>204</v>
      </c>
      <c r="B88" s="6">
        <v>45644</v>
      </c>
      <c r="C88" t="s">
        <v>77</v>
      </c>
      <c r="D88" t="s">
        <v>72</v>
      </c>
      <c r="E88" t="s">
        <v>125</v>
      </c>
      <c r="F88" t="s">
        <v>82</v>
      </c>
      <c r="G88" t="s">
        <v>91</v>
      </c>
      <c r="H88">
        <v>3</v>
      </c>
      <c r="I88" s="7">
        <v>940.04</v>
      </c>
      <c r="J88" s="8">
        <v>0</v>
      </c>
      <c r="K88" s="7">
        <v>430.42</v>
      </c>
      <c r="L88" s="7">
        <f t="shared" si="6"/>
        <v>2820.12</v>
      </c>
      <c r="M88" s="7">
        <f t="shared" si="7"/>
        <v>0</v>
      </c>
      <c r="N88" s="7">
        <f t="shared" si="8"/>
        <v>2820.12</v>
      </c>
      <c r="O88" s="7">
        <f t="shared" si="9"/>
        <v>1291.26</v>
      </c>
      <c r="P88" s="7">
        <f t="shared" si="10"/>
        <v>1528.86</v>
      </c>
      <c r="Q88" s="8">
        <f t="shared" si="11"/>
        <v>0.54212586698438359</v>
      </c>
    </row>
    <row r="89" spans="1:17" ht="15" customHeight="1" x14ac:dyDescent="0.3">
      <c r="A89" t="s">
        <v>205</v>
      </c>
      <c r="B89" s="6">
        <v>45427</v>
      </c>
      <c r="C89" t="s">
        <v>77</v>
      </c>
      <c r="D89" t="s">
        <v>85</v>
      </c>
      <c r="E89" t="s">
        <v>187</v>
      </c>
      <c r="F89" t="s">
        <v>90</v>
      </c>
      <c r="G89" t="s">
        <v>75</v>
      </c>
      <c r="H89">
        <v>5</v>
      </c>
      <c r="I89" s="7">
        <v>465.59</v>
      </c>
      <c r="J89" s="8">
        <v>0.05</v>
      </c>
      <c r="K89" s="7">
        <v>235.72</v>
      </c>
      <c r="L89" s="7">
        <f t="shared" si="6"/>
        <v>2327.9499999999998</v>
      </c>
      <c r="M89" s="7">
        <f t="shared" si="7"/>
        <v>116.39749999999999</v>
      </c>
      <c r="N89" s="7">
        <f t="shared" si="8"/>
        <v>2211.5524999999998</v>
      </c>
      <c r="O89" s="7">
        <f t="shared" si="9"/>
        <v>1178.5999999999999</v>
      </c>
      <c r="P89" s="7">
        <f t="shared" si="10"/>
        <v>1032.9524999999999</v>
      </c>
      <c r="Q89" s="8">
        <f t="shared" si="11"/>
        <v>0.46707120902623833</v>
      </c>
    </row>
    <row r="90" spans="1:17" ht="15" customHeight="1" x14ac:dyDescent="0.3">
      <c r="A90" t="s">
        <v>206</v>
      </c>
      <c r="B90" s="6">
        <v>45328</v>
      </c>
      <c r="C90" t="s">
        <v>79</v>
      </c>
      <c r="D90" t="s">
        <v>80</v>
      </c>
      <c r="E90" t="s">
        <v>159</v>
      </c>
      <c r="F90" t="s">
        <v>82</v>
      </c>
      <c r="G90" t="s">
        <v>106</v>
      </c>
      <c r="H90">
        <v>3</v>
      </c>
      <c r="I90" s="7">
        <v>149.54</v>
      </c>
      <c r="J90" s="8">
        <v>0.2</v>
      </c>
      <c r="K90" s="7">
        <v>87.82</v>
      </c>
      <c r="L90" s="7">
        <f t="shared" si="6"/>
        <v>448.62</v>
      </c>
      <c r="M90" s="7">
        <f t="shared" si="7"/>
        <v>89.724000000000004</v>
      </c>
      <c r="N90" s="7">
        <f t="shared" si="8"/>
        <v>358.89600000000002</v>
      </c>
      <c r="O90" s="7">
        <f t="shared" si="9"/>
        <v>263.45999999999998</v>
      </c>
      <c r="P90" s="7">
        <f t="shared" si="10"/>
        <v>95.436000000000035</v>
      </c>
      <c r="Q90" s="8">
        <f t="shared" si="11"/>
        <v>0.26591547412063671</v>
      </c>
    </row>
    <row r="91" spans="1:17" ht="15" customHeight="1" x14ac:dyDescent="0.3">
      <c r="A91" t="s">
        <v>207</v>
      </c>
      <c r="B91" s="6">
        <v>45644</v>
      </c>
      <c r="C91" t="s">
        <v>102</v>
      </c>
      <c r="D91" t="s">
        <v>80</v>
      </c>
      <c r="E91" t="s">
        <v>89</v>
      </c>
      <c r="F91" t="s">
        <v>74</v>
      </c>
      <c r="G91" t="s">
        <v>91</v>
      </c>
      <c r="H91">
        <v>4</v>
      </c>
      <c r="I91" s="7">
        <v>188.65</v>
      </c>
      <c r="J91" s="8">
        <v>0.1</v>
      </c>
      <c r="K91" s="7">
        <v>99.06</v>
      </c>
      <c r="L91" s="7">
        <f t="shared" si="6"/>
        <v>754.6</v>
      </c>
      <c r="M91" s="7">
        <f t="shared" si="7"/>
        <v>75.460000000000008</v>
      </c>
      <c r="N91" s="7">
        <f t="shared" si="8"/>
        <v>679.14</v>
      </c>
      <c r="O91" s="7">
        <f t="shared" si="9"/>
        <v>396.24</v>
      </c>
      <c r="P91" s="7">
        <f t="shared" si="10"/>
        <v>282.89999999999998</v>
      </c>
      <c r="Q91" s="8">
        <f t="shared" si="11"/>
        <v>0.41655623288276344</v>
      </c>
    </row>
    <row r="92" spans="1:17" ht="15" customHeight="1" x14ac:dyDescent="0.3">
      <c r="A92" t="s">
        <v>208</v>
      </c>
      <c r="B92" s="6">
        <v>45513</v>
      </c>
      <c r="C92" t="s">
        <v>77</v>
      </c>
      <c r="D92" t="s">
        <v>108</v>
      </c>
      <c r="E92" t="s">
        <v>162</v>
      </c>
      <c r="F92" t="s">
        <v>90</v>
      </c>
      <c r="G92" t="s">
        <v>110</v>
      </c>
      <c r="H92">
        <v>20</v>
      </c>
      <c r="I92" s="7">
        <v>32.19</v>
      </c>
      <c r="J92" s="8">
        <v>0.1</v>
      </c>
      <c r="K92" s="7">
        <v>13.08</v>
      </c>
      <c r="L92" s="7">
        <f t="shared" si="6"/>
        <v>643.79999999999995</v>
      </c>
      <c r="M92" s="7">
        <f t="shared" si="7"/>
        <v>64.38</v>
      </c>
      <c r="N92" s="7">
        <f t="shared" si="8"/>
        <v>579.41999999999996</v>
      </c>
      <c r="O92" s="7">
        <f t="shared" si="9"/>
        <v>261.60000000000002</v>
      </c>
      <c r="P92" s="7">
        <f t="shared" si="10"/>
        <v>317.81999999999994</v>
      </c>
      <c r="Q92" s="8">
        <f t="shared" si="11"/>
        <v>0.54851403127265186</v>
      </c>
    </row>
    <row r="93" spans="1:17" ht="15" customHeight="1" x14ac:dyDescent="0.3">
      <c r="A93" t="s">
        <v>209</v>
      </c>
      <c r="B93" s="6">
        <v>45587</v>
      </c>
      <c r="C93" t="s">
        <v>93</v>
      </c>
      <c r="D93" t="s">
        <v>117</v>
      </c>
      <c r="E93" t="s">
        <v>118</v>
      </c>
      <c r="F93" t="s">
        <v>74</v>
      </c>
      <c r="G93" t="s">
        <v>142</v>
      </c>
      <c r="H93">
        <v>2</v>
      </c>
      <c r="I93" s="7">
        <v>87.86</v>
      </c>
      <c r="J93" s="8">
        <v>0.15</v>
      </c>
      <c r="K93" s="7">
        <v>46.54</v>
      </c>
      <c r="L93" s="7">
        <f t="shared" si="6"/>
        <v>175.72</v>
      </c>
      <c r="M93" s="7">
        <f t="shared" si="7"/>
        <v>26.358000000000001</v>
      </c>
      <c r="N93" s="7">
        <f t="shared" si="8"/>
        <v>149.36199999999999</v>
      </c>
      <c r="O93" s="7">
        <f t="shared" si="9"/>
        <v>93.08</v>
      </c>
      <c r="P93" s="7">
        <f t="shared" si="10"/>
        <v>56.281999999999996</v>
      </c>
      <c r="Q93" s="8">
        <f t="shared" si="11"/>
        <v>0.37681605763179388</v>
      </c>
    </row>
    <row r="94" spans="1:17" ht="15" customHeight="1" x14ac:dyDescent="0.3">
      <c r="A94" t="s">
        <v>210</v>
      </c>
      <c r="B94" s="6">
        <v>45617</v>
      </c>
      <c r="C94" t="s">
        <v>79</v>
      </c>
      <c r="D94" t="s">
        <v>108</v>
      </c>
      <c r="E94" t="s">
        <v>128</v>
      </c>
      <c r="F94" t="s">
        <v>90</v>
      </c>
      <c r="G94" t="s">
        <v>135</v>
      </c>
      <c r="H94">
        <v>3</v>
      </c>
      <c r="I94" s="7">
        <v>33.78</v>
      </c>
      <c r="J94" s="8">
        <v>0.15</v>
      </c>
      <c r="K94" s="7">
        <v>16.45</v>
      </c>
      <c r="L94" s="7">
        <f t="shared" si="6"/>
        <v>101.34</v>
      </c>
      <c r="M94" s="7">
        <f t="shared" si="7"/>
        <v>15.201000000000001</v>
      </c>
      <c r="N94" s="7">
        <f t="shared" si="8"/>
        <v>86.13900000000001</v>
      </c>
      <c r="O94" s="7">
        <f t="shared" si="9"/>
        <v>49.349999999999994</v>
      </c>
      <c r="P94" s="7">
        <f t="shared" si="10"/>
        <v>36.789000000000016</v>
      </c>
      <c r="Q94" s="8">
        <f t="shared" si="11"/>
        <v>0.42708877511928406</v>
      </c>
    </row>
    <row r="95" spans="1:17" ht="15" customHeight="1" x14ac:dyDescent="0.3">
      <c r="A95" t="s">
        <v>211</v>
      </c>
      <c r="B95" s="6">
        <v>45502</v>
      </c>
      <c r="C95" t="s">
        <v>77</v>
      </c>
      <c r="D95" t="s">
        <v>85</v>
      </c>
      <c r="E95" t="s">
        <v>86</v>
      </c>
      <c r="F95" t="s">
        <v>74</v>
      </c>
      <c r="G95" t="s">
        <v>87</v>
      </c>
      <c r="H95">
        <v>3</v>
      </c>
      <c r="I95" s="7">
        <v>439.23</v>
      </c>
      <c r="J95" s="8">
        <v>0.15</v>
      </c>
      <c r="K95" s="7">
        <v>265.02999999999997</v>
      </c>
      <c r="L95" s="7">
        <f t="shared" si="6"/>
        <v>1317.69</v>
      </c>
      <c r="M95" s="7">
        <f t="shared" si="7"/>
        <v>197.65350000000001</v>
      </c>
      <c r="N95" s="7">
        <f t="shared" si="8"/>
        <v>1120.0365000000002</v>
      </c>
      <c r="O95" s="7">
        <f t="shared" si="9"/>
        <v>795.08999999999992</v>
      </c>
      <c r="P95" s="7">
        <f t="shared" si="10"/>
        <v>324.94650000000024</v>
      </c>
      <c r="Q95" s="8">
        <f t="shared" si="11"/>
        <v>0.29012134872390338</v>
      </c>
    </row>
    <row r="96" spans="1:17" ht="15" customHeight="1" x14ac:dyDescent="0.3">
      <c r="A96" t="s">
        <v>212</v>
      </c>
      <c r="B96" s="6">
        <v>45421</v>
      </c>
      <c r="C96" t="s">
        <v>102</v>
      </c>
      <c r="D96" t="s">
        <v>80</v>
      </c>
      <c r="E96" t="s">
        <v>113</v>
      </c>
      <c r="F96" t="s">
        <v>74</v>
      </c>
      <c r="G96" t="s">
        <v>87</v>
      </c>
      <c r="H96">
        <v>4</v>
      </c>
      <c r="I96" s="7">
        <v>191.72</v>
      </c>
      <c r="J96" s="8">
        <v>0.2</v>
      </c>
      <c r="K96" s="7">
        <v>116.23</v>
      </c>
      <c r="L96" s="7">
        <f t="shared" si="6"/>
        <v>766.88</v>
      </c>
      <c r="M96" s="7">
        <f t="shared" si="7"/>
        <v>153.376</v>
      </c>
      <c r="N96" s="7">
        <f t="shared" si="8"/>
        <v>613.50400000000002</v>
      </c>
      <c r="O96" s="7">
        <f t="shared" si="9"/>
        <v>464.92</v>
      </c>
      <c r="P96" s="7">
        <f t="shared" si="10"/>
        <v>148.584</v>
      </c>
      <c r="Q96" s="8">
        <f t="shared" si="11"/>
        <v>0.24218912998122261</v>
      </c>
    </row>
    <row r="97" spans="1:17" ht="15" customHeight="1" x14ac:dyDescent="0.3">
      <c r="A97" t="s">
        <v>213</v>
      </c>
      <c r="B97" s="6">
        <v>45388</v>
      </c>
      <c r="C97" t="s">
        <v>102</v>
      </c>
      <c r="D97" t="s">
        <v>72</v>
      </c>
      <c r="E97" t="s">
        <v>98</v>
      </c>
      <c r="F97" t="s">
        <v>82</v>
      </c>
      <c r="G97" t="s">
        <v>110</v>
      </c>
      <c r="H97">
        <v>5</v>
      </c>
      <c r="I97" s="7">
        <v>891.8</v>
      </c>
      <c r="J97" s="8">
        <v>0.15</v>
      </c>
      <c r="K97" s="7">
        <v>496.15</v>
      </c>
      <c r="L97" s="7">
        <f t="shared" si="6"/>
        <v>4459</v>
      </c>
      <c r="M97" s="7">
        <f t="shared" si="7"/>
        <v>668.85</v>
      </c>
      <c r="N97" s="7">
        <f t="shared" si="8"/>
        <v>3790.15</v>
      </c>
      <c r="O97" s="7">
        <f t="shared" si="9"/>
        <v>2480.75</v>
      </c>
      <c r="P97" s="7">
        <f t="shared" si="10"/>
        <v>1309.4000000000001</v>
      </c>
      <c r="Q97" s="8">
        <f t="shared" si="11"/>
        <v>0.34547445351767081</v>
      </c>
    </row>
    <row r="98" spans="1:17" ht="15" customHeight="1" x14ac:dyDescent="0.3">
      <c r="A98" t="s">
        <v>214</v>
      </c>
      <c r="B98" s="6">
        <v>45439</v>
      </c>
      <c r="C98" t="s">
        <v>71</v>
      </c>
      <c r="D98" t="s">
        <v>72</v>
      </c>
      <c r="E98" t="s">
        <v>125</v>
      </c>
      <c r="F98" t="s">
        <v>90</v>
      </c>
      <c r="G98" t="s">
        <v>106</v>
      </c>
      <c r="H98">
        <v>4</v>
      </c>
      <c r="I98" s="7">
        <v>840.39</v>
      </c>
      <c r="J98" s="8">
        <v>0</v>
      </c>
      <c r="K98" s="7">
        <v>342.22</v>
      </c>
      <c r="L98" s="7">
        <f t="shared" si="6"/>
        <v>3361.56</v>
      </c>
      <c r="M98" s="7">
        <f t="shared" si="7"/>
        <v>0</v>
      </c>
      <c r="N98" s="7">
        <f t="shared" si="8"/>
        <v>3361.56</v>
      </c>
      <c r="O98" s="7">
        <f t="shared" si="9"/>
        <v>1368.88</v>
      </c>
      <c r="P98" s="7">
        <f t="shared" si="10"/>
        <v>1992.6799999999998</v>
      </c>
      <c r="Q98" s="8">
        <f t="shared" si="11"/>
        <v>0.59278430252620806</v>
      </c>
    </row>
    <row r="99" spans="1:17" ht="15" customHeight="1" x14ac:dyDescent="0.3">
      <c r="A99" t="s">
        <v>215</v>
      </c>
      <c r="B99" s="6">
        <v>45299</v>
      </c>
      <c r="C99" t="s">
        <v>79</v>
      </c>
      <c r="D99" t="s">
        <v>80</v>
      </c>
      <c r="E99" t="s">
        <v>159</v>
      </c>
      <c r="F99" t="s">
        <v>82</v>
      </c>
      <c r="G99" t="s">
        <v>114</v>
      </c>
      <c r="H99">
        <v>1</v>
      </c>
      <c r="I99" s="7">
        <v>228.36</v>
      </c>
      <c r="J99" s="8">
        <v>0.05</v>
      </c>
      <c r="K99" s="7">
        <v>147.99</v>
      </c>
      <c r="L99" s="7">
        <f t="shared" si="6"/>
        <v>228.36</v>
      </c>
      <c r="M99" s="7">
        <f t="shared" si="7"/>
        <v>11.418000000000001</v>
      </c>
      <c r="N99" s="7">
        <f t="shared" si="8"/>
        <v>216.94200000000001</v>
      </c>
      <c r="O99" s="7">
        <f t="shared" si="9"/>
        <v>147.99</v>
      </c>
      <c r="P99" s="7">
        <f t="shared" si="10"/>
        <v>68.951999999999998</v>
      </c>
      <c r="Q99" s="8">
        <f t="shared" si="11"/>
        <v>0.31783610365904247</v>
      </c>
    </row>
    <row r="100" spans="1:17" ht="15" customHeight="1" x14ac:dyDescent="0.3">
      <c r="A100" t="s">
        <v>216</v>
      </c>
      <c r="B100" s="6">
        <v>45547</v>
      </c>
      <c r="C100" t="s">
        <v>77</v>
      </c>
      <c r="D100" t="s">
        <v>72</v>
      </c>
      <c r="E100" t="s">
        <v>96</v>
      </c>
      <c r="F100" t="s">
        <v>90</v>
      </c>
      <c r="G100" t="s">
        <v>106</v>
      </c>
      <c r="H100">
        <v>3</v>
      </c>
      <c r="I100" s="7">
        <v>1156.9000000000001</v>
      </c>
      <c r="J100" s="8">
        <v>0.2</v>
      </c>
      <c r="K100" s="7">
        <v>666.78</v>
      </c>
      <c r="L100" s="7">
        <f t="shared" si="6"/>
        <v>3470.7000000000003</v>
      </c>
      <c r="M100" s="7">
        <f t="shared" si="7"/>
        <v>694.1400000000001</v>
      </c>
      <c r="N100" s="7">
        <f t="shared" si="8"/>
        <v>2776.5600000000004</v>
      </c>
      <c r="O100" s="7">
        <f t="shared" si="9"/>
        <v>2000.34</v>
      </c>
      <c r="P100" s="7">
        <f t="shared" si="10"/>
        <v>776.22000000000048</v>
      </c>
      <c r="Q100" s="8">
        <f t="shared" si="11"/>
        <v>0.27956175987552956</v>
      </c>
    </row>
    <row r="101" spans="1:17" ht="15" customHeight="1" x14ac:dyDescent="0.3">
      <c r="A101" t="s">
        <v>217</v>
      </c>
      <c r="B101" s="6">
        <v>45574</v>
      </c>
      <c r="C101" t="s">
        <v>102</v>
      </c>
      <c r="D101" t="s">
        <v>108</v>
      </c>
      <c r="E101" t="s">
        <v>162</v>
      </c>
      <c r="F101" t="s">
        <v>74</v>
      </c>
      <c r="G101" t="s">
        <v>91</v>
      </c>
      <c r="H101">
        <v>7</v>
      </c>
      <c r="I101" s="7">
        <v>20.39</v>
      </c>
      <c r="J101" s="8">
        <v>0.2</v>
      </c>
      <c r="K101" s="7">
        <v>10.75</v>
      </c>
      <c r="L101" s="7">
        <f t="shared" si="6"/>
        <v>142.73000000000002</v>
      </c>
      <c r="M101" s="7">
        <f t="shared" si="7"/>
        <v>28.546000000000006</v>
      </c>
      <c r="N101" s="7">
        <f t="shared" si="8"/>
        <v>114.18400000000001</v>
      </c>
      <c r="O101" s="7">
        <f t="shared" si="9"/>
        <v>75.25</v>
      </c>
      <c r="P101" s="7">
        <f t="shared" si="10"/>
        <v>38.934000000000012</v>
      </c>
      <c r="Q101" s="8">
        <f t="shared" si="11"/>
        <v>0.34097596861206481</v>
      </c>
    </row>
    <row r="102" spans="1:17" ht="15" customHeight="1" x14ac:dyDescent="0.3">
      <c r="A102" t="s">
        <v>218</v>
      </c>
      <c r="B102" s="6">
        <v>45551</v>
      </c>
      <c r="C102" t="s">
        <v>71</v>
      </c>
      <c r="D102" t="s">
        <v>117</v>
      </c>
      <c r="E102" t="s">
        <v>131</v>
      </c>
      <c r="F102" t="s">
        <v>82</v>
      </c>
      <c r="G102" t="s">
        <v>87</v>
      </c>
      <c r="H102">
        <v>1</v>
      </c>
      <c r="I102" s="7">
        <v>109.65</v>
      </c>
      <c r="J102" s="8">
        <v>0.1</v>
      </c>
      <c r="K102" s="7">
        <v>63.76</v>
      </c>
      <c r="L102" s="7">
        <f t="shared" si="6"/>
        <v>109.65</v>
      </c>
      <c r="M102" s="7">
        <f t="shared" si="7"/>
        <v>10.965000000000002</v>
      </c>
      <c r="N102" s="7">
        <f t="shared" si="8"/>
        <v>98.685000000000002</v>
      </c>
      <c r="O102" s="7">
        <f t="shared" si="9"/>
        <v>63.76</v>
      </c>
      <c r="P102" s="7">
        <f t="shared" si="10"/>
        <v>34.925000000000004</v>
      </c>
      <c r="Q102" s="8">
        <f t="shared" si="11"/>
        <v>0.35390383543598319</v>
      </c>
    </row>
    <row r="103" spans="1:17" ht="15" customHeight="1" x14ac:dyDescent="0.3">
      <c r="A103" t="s">
        <v>219</v>
      </c>
      <c r="B103" s="6">
        <v>45567</v>
      </c>
      <c r="C103" t="s">
        <v>102</v>
      </c>
      <c r="D103" t="s">
        <v>80</v>
      </c>
      <c r="E103" t="s">
        <v>138</v>
      </c>
      <c r="F103" t="s">
        <v>74</v>
      </c>
      <c r="G103" t="s">
        <v>91</v>
      </c>
      <c r="H103">
        <v>3</v>
      </c>
      <c r="I103" s="7">
        <v>217.49</v>
      </c>
      <c r="J103" s="8">
        <v>0.2</v>
      </c>
      <c r="K103" s="7">
        <v>128.47999999999999</v>
      </c>
      <c r="L103" s="7">
        <f t="shared" si="6"/>
        <v>652.47</v>
      </c>
      <c r="M103" s="7">
        <f t="shared" si="7"/>
        <v>130.494</v>
      </c>
      <c r="N103" s="7">
        <f t="shared" si="8"/>
        <v>521.976</v>
      </c>
      <c r="O103" s="7">
        <f t="shared" si="9"/>
        <v>385.43999999999994</v>
      </c>
      <c r="P103" s="7">
        <f t="shared" si="10"/>
        <v>136.53600000000006</v>
      </c>
      <c r="Q103" s="8">
        <f t="shared" si="11"/>
        <v>0.26157524483884326</v>
      </c>
    </row>
    <row r="104" spans="1:17" ht="15" customHeight="1" x14ac:dyDescent="0.3">
      <c r="A104" t="s">
        <v>220</v>
      </c>
      <c r="B104" s="6">
        <v>45584</v>
      </c>
      <c r="C104" t="s">
        <v>71</v>
      </c>
      <c r="D104" t="s">
        <v>108</v>
      </c>
      <c r="E104" t="s">
        <v>162</v>
      </c>
      <c r="F104" t="s">
        <v>74</v>
      </c>
      <c r="G104" t="s">
        <v>75</v>
      </c>
      <c r="H104">
        <v>14</v>
      </c>
      <c r="I104" s="7">
        <v>25.16</v>
      </c>
      <c r="J104" s="8">
        <v>0</v>
      </c>
      <c r="K104" s="7">
        <v>12.07</v>
      </c>
      <c r="L104" s="7">
        <f t="shared" si="6"/>
        <v>352.24</v>
      </c>
      <c r="M104" s="7">
        <f t="shared" si="7"/>
        <v>0</v>
      </c>
      <c r="N104" s="7">
        <f t="shared" si="8"/>
        <v>352.24</v>
      </c>
      <c r="O104" s="7">
        <f t="shared" si="9"/>
        <v>168.98000000000002</v>
      </c>
      <c r="P104" s="7">
        <f t="shared" si="10"/>
        <v>183.26</v>
      </c>
      <c r="Q104" s="8">
        <f t="shared" si="11"/>
        <v>0.52027027027027029</v>
      </c>
    </row>
    <row r="105" spans="1:17" ht="15" customHeight="1" x14ac:dyDescent="0.3">
      <c r="A105" t="s">
        <v>221</v>
      </c>
      <c r="B105" s="6">
        <v>45545</v>
      </c>
      <c r="C105" t="s">
        <v>102</v>
      </c>
      <c r="D105" t="s">
        <v>108</v>
      </c>
      <c r="E105" t="s">
        <v>162</v>
      </c>
      <c r="F105" t="s">
        <v>90</v>
      </c>
      <c r="G105" t="s">
        <v>106</v>
      </c>
      <c r="H105">
        <v>5</v>
      </c>
      <c r="I105" s="7">
        <v>36.799999999999997</v>
      </c>
      <c r="J105" s="8">
        <v>0.2</v>
      </c>
      <c r="K105" s="7">
        <v>23.6</v>
      </c>
      <c r="L105" s="7">
        <f t="shared" si="6"/>
        <v>184</v>
      </c>
      <c r="M105" s="7">
        <f t="shared" si="7"/>
        <v>36.800000000000004</v>
      </c>
      <c r="N105" s="7">
        <f t="shared" si="8"/>
        <v>147.19999999999999</v>
      </c>
      <c r="O105" s="7">
        <f t="shared" si="9"/>
        <v>118</v>
      </c>
      <c r="P105" s="7">
        <f t="shared" si="10"/>
        <v>29.199999999999989</v>
      </c>
      <c r="Q105" s="8">
        <f t="shared" si="11"/>
        <v>0.19836956521739124</v>
      </c>
    </row>
    <row r="106" spans="1:17" ht="15" customHeight="1" x14ac:dyDescent="0.3">
      <c r="A106" t="s">
        <v>222</v>
      </c>
      <c r="B106" s="6">
        <v>45525</v>
      </c>
      <c r="C106" t="s">
        <v>102</v>
      </c>
      <c r="D106" t="s">
        <v>85</v>
      </c>
      <c r="E106" t="s">
        <v>100</v>
      </c>
      <c r="F106" t="s">
        <v>74</v>
      </c>
      <c r="G106" t="s">
        <v>114</v>
      </c>
      <c r="H106">
        <v>2</v>
      </c>
      <c r="I106" s="7">
        <v>249.3</v>
      </c>
      <c r="J106" s="8">
        <v>0.15</v>
      </c>
      <c r="K106" s="7">
        <v>154</v>
      </c>
      <c r="L106" s="7">
        <f t="shared" si="6"/>
        <v>498.6</v>
      </c>
      <c r="M106" s="7">
        <f t="shared" si="7"/>
        <v>74.790000000000006</v>
      </c>
      <c r="N106" s="7">
        <f t="shared" si="8"/>
        <v>423.81</v>
      </c>
      <c r="O106" s="7">
        <f t="shared" si="9"/>
        <v>308</v>
      </c>
      <c r="P106" s="7">
        <f t="shared" si="10"/>
        <v>115.81</v>
      </c>
      <c r="Q106" s="8">
        <f t="shared" si="11"/>
        <v>0.27325924352893988</v>
      </c>
    </row>
    <row r="107" spans="1:17" ht="15" customHeight="1" x14ac:dyDescent="0.3">
      <c r="A107" t="s">
        <v>223</v>
      </c>
      <c r="B107" s="6">
        <v>45611</v>
      </c>
      <c r="C107" t="s">
        <v>102</v>
      </c>
      <c r="D107" t="s">
        <v>117</v>
      </c>
      <c r="E107" t="s">
        <v>131</v>
      </c>
      <c r="F107" t="s">
        <v>82</v>
      </c>
      <c r="G107" t="s">
        <v>87</v>
      </c>
      <c r="H107">
        <v>1</v>
      </c>
      <c r="I107" s="7">
        <v>150.5</v>
      </c>
      <c r="J107" s="8">
        <v>0.1</v>
      </c>
      <c r="K107" s="7">
        <v>92.27</v>
      </c>
      <c r="L107" s="7">
        <f t="shared" si="6"/>
        <v>150.5</v>
      </c>
      <c r="M107" s="7">
        <f t="shared" si="7"/>
        <v>15.05</v>
      </c>
      <c r="N107" s="7">
        <f t="shared" si="8"/>
        <v>135.44999999999999</v>
      </c>
      <c r="O107" s="7">
        <f t="shared" si="9"/>
        <v>92.27</v>
      </c>
      <c r="P107" s="7">
        <f t="shared" si="10"/>
        <v>43.179999999999993</v>
      </c>
      <c r="Q107" s="8">
        <f t="shared" si="11"/>
        <v>0.31878922111480246</v>
      </c>
    </row>
    <row r="108" spans="1:17" ht="15" customHeight="1" x14ac:dyDescent="0.3">
      <c r="A108" t="s">
        <v>224</v>
      </c>
      <c r="B108" s="6">
        <v>45569</v>
      </c>
      <c r="C108" t="s">
        <v>71</v>
      </c>
      <c r="D108" t="s">
        <v>80</v>
      </c>
      <c r="E108" t="s">
        <v>81</v>
      </c>
      <c r="F108" t="s">
        <v>90</v>
      </c>
      <c r="G108" t="s">
        <v>91</v>
      </c>
      <c r="H108">
        <v>1</v>
      </c>
      <c r="I108" s="7">
        <v>145.74</v>
      </c>
      <c r="J108" s="8">
        <v>0.05</v>
      </c>
      <c r="K108" s="7">
        <v>81.290000000000006</v>
      </c>
      <c r="L108" s="7">
        <f t="shared" si="6"/>
        <v>145.74</v>
      </c>
      <c r="M108" s="7">
        <f t="shared" si="7"/>
        <v>7.2870000000000008</v>
      </c>
      <c r="N108" s="7">
        <f t="shared" si="8"/>
        <v>138.453</v>
      </c>
      <c r="O108" s="7">
        <f t="shared" si="9"/>
        <v>81.290000000000006</v>
      </c>
      <c r="P108" s="7">
        <f t="shared" si="10"/>
        <v>57.162999999999997</v>
      </c>
      <c r="Q108" s="8">
        <f t="shared" si="11"/>
        <v>0.41286934916542073</v>
      </c>
    </row>
    <row r="109" spans="1:17" ht="15" customHeight="1" x14ac:dyDescent="0.3">
      <c r="A109" t="s">
        <v>225</v>
      </c>
      <c r="B109" s="6">
        <v>45616</v>
      </c>
      <c r="C109" t="s">
        <v>77</v>
      </c>
      <c r="D109" t="s">
        <v>85</v>
      </c>
      <c r="E109" t="s">
        <v>103</v>
      </c>
      <c r="F109" t="s">
        <v>82</v>
      </c>
      <c r="G109" t="s">
        <v>94</v>
      </c>
      <c r="H109">
        <v>1</v>
      </c>
      <c r="I109" s="7">
        <v>442.09</v>
      </c>
      <c r="J109" s="8">
        <v>0.15</v>
      </c>
      <c r="K109" s="7">
        <v>195.22</v>
      </c>
      <c r="L109" s="7">
        <f t="shared" si="6"/>
        <v>442.09</v>
      </c>
      <c r="M109" s="7">
        <f t="shared" si="7"/>
        <v>66.313499999999991</v>
      </c>
      <c r="N109" s="7">
        <f t="shared" si="8"/>
        <v>375.7765</v>
      </c>
      <c r="O109" s="7">
        <f t="shared" si="9"/>
        <v>195.22</v>
      </c>
      <c r="P109" s="7">
        <f t="shared" si="10"/>
        <v>180.5565</v>
      </c>
      <c r="Q109" s="8">
        <f t="shared" si="11"/>
        <v>0.48048906730463453</v>
      </c>
    </row>
    <row r="110" spans="1:17" ht="15" customHeight="1" x14ac:dyDescent="0.3">
      <c r="A110" t="s">
        <v>226</v>
      </c>
      <c r="B110" s="6">
        <v>45442</v>
      </c>
      <c r="C110" t="s">
        <v>77</v>
      </c>
      <c r="D110" t="s">
        <v>85</v>
      </c>
      <c r="E110" t="s">
        <v>100</v>
      </c>
      <c r="F110" t="s">
        <v>82</v>
      </c>
      <c r="G110" t="s">
        <v>110</v>
      </c>
      <c r="H110">
        <v>4</v>
      </c>
      <c r="I110" s="7">
        <v>345.37</v>
      </c>
      <c r="J110" s="8">
        <v>0.05</v>
      </c>
      <c r="K110" s="7">
        <v>159.22999999999999</v>
      </c>
      <c r="L110" s="7">
        <f t="shared" si="6"/>
        <v>1381.48</v>
      </c>
      <c r="M110" s="7">
        <f t="shared" si="7"/>
        <v>69.073999999999998</v>
      </c>
      <c r="N110" s="7">
        <f t="shared" si="8"/>
        <v>1312.4059999999999</v>
      </c>
      <c r="O110" s="7">
        <f t="shared" si="9"/>
        <v>636.91999999999996</v>
      </c>
      <c r="P110" s="7">
        <f t="shared" si="10"/>
        <v>675.48599999999999</v>
      </c>
      <c r="Q110" s="8">
        <f t="shared" si="11"/>
        <v>0.51469286181257934</v>
      </c>
    </row>
    <row r="111" spans="1:17" ht="15" customHeight="1" x14ac:dyDescent="0.3">
      <c r="A111" t="s">
        <v>227</v>
      </c>
      <c r="B111" s="6">
        <v>45332</v>
      </c>
      <c r="C111" t="s">
        <v>79</v>
      </c>
      <c r="D111" t="s">
        <v>108</v>
      </c>
      <c r="E111" t="s">
        <v>109</v>
      </c>
      <c r="F111" t="s">
        <v>74</v>
      </c>
      <c r="G111" t="s">
        <v>106</v>
      </c>
      <c r="H111">
        <v>13</v>
      </c>
      <c r="I111" s="7">
        <v>29.69</v>
      </c>
      <c r="J111" s="8">
        <v>0.2</v>
      </c>
      <c r="K111" s="7">
        <v>16.95</v>
      </c>
      <c r="L111" s="7">
        <f t="shared" si="6"/>
        <v>385.97</v>
      </c>
      <c r="M111" s="7">
        <f t="shared" si="7"/>
        <v>77.194000000000017</v>
      </c>
      <c r="N111" s="7">
        <f t="shared" si="8"/>
        <v>308.77600000000001</v>
      </c>
      <c r="O111" s="7">
        <f t="shared" si="9"/>
        <v>220.35</v>
      </c>
      <c r="P111" s="7">
        <f t="shared" si="10"/>
        <v>88.426000000000016</v>
      </c>
      <c r="Q111" s="8">
        <f t="shared" si="11"/>
        <v>0.28637588413607279</v>
      </c>
    </row>
    <row r="112" spans="1:17" ht="15" customHeight="1" x14ac:dyDescent="0.3">
      <c r="A112" t="s">
        <v>228</v>
      </c>
      <c r="B112" s="6">
        <v>45618</v>
      </c>
      <c r="C112" t="s">
        <v>79</v>
      </c>
      <c r="D112" t="s">
        <v>108</v>
      </c>
      <c r="E112" t="s">
        <v>109</v>
      </c>
      <c r="F112" t="s">
        <v>74</v>
      </c>
      <c r="G112" t="s">
        <v>91</v>
      </c>
      <c r="H112">
        <v>9</v>
      </c>
      <c r="I112" s="7">
        <v>22.58</v>
      </c>
      <c r="J112" s="8">
        <v>0</v>
      </c>
      <c r="K112" s="7">
        <v>14.11</v>
      </c>
      <c r="L112" s="7">
        <f t="shared" si="6"/>
        <v>203.21999999999997</v>
      </c>
      <c r="M112" s="7">
        <f t="shared" si="7"/>
        <v>0</v>
      </c>
      <c r="N112" s="7">
        <f t="shared" si="8"/>
        <v>203.21999999999997</v>
      </c>
      <c r="O112" s="7">
        <f t="shared" si="9"/>
        <v>126.99</v>
      </c>
      <c r="P112" s="7">
        <f t="shared" si="10"/>
        <v>76.229999999999976</v>
      </c>
      <c r="Q112" s="8">
        <f t="shared" si="11"/>
        <v>0.37511071744906993</v>
      </c>
    </row>
    <row r="113" spans="1:17" ht="15" customHeight="1" x14ac:dyDescent="0.3">
      <c r="A113" t="s">
        <v>229</v>
      </c>
      <c r="B113" s="6">
        <v>45518</v>
      </c>
      <c r="C113" t="s">
        <v>93</v>
      </c>
      <c r="D113" t="s">
        <v>108</v>
      </c>
      <c r="E113" t="s">
        <v>128</v>
      </c>
      <c r="F113" t="s">
        <v>74</v>
      </c>
      <c r="G113" t="s">
        <v>94</v>
      </c>
      <c r="H113">
        <v>19</v>
      </c>
      <c r="I113" s="7">
        <v>36.4</v>
      </c>
      <c r="J113" s="8">
        <v>0.1</v>
      </c>
      <c r="K113" s="7">
        <v>20.37</v>
      </c>
      <c r="L113" s="7">
        <f t="shared" si="6"/>
        <v>691.6</v>
      </c>
      <c r="M113" s="7">
        <f t="shared" si="7"/>
        <v>69.160000000000011</v>
      </c>
      <c r="N113" s="7">
        <f t="shared" si="8"/>
        <v>622.44000000000005</v>
      </c>
      <c r="O113" s="7">
        <f t="shared" si="9"/>
        <v>387.03000000000003</v>
      </c>
      <c r="P113" s="7">
        <f t="shared" si="10"/>
        <v>235.41000000000003</v>
      </c>
      <c r="Q113" s="8">
        <f t="shared" si="11"/>
        <v>0.37820512820512819</v>
      </c>
    </row>
    <row r="114" spans="1:17" ht="15" customHeight="1" x14ac:dyDescent="0.3">
      <c r="A114" t="s">
        <v>230</v>
      </c>
      <c r="B114" s="6">
        <v>45488</v>
      </c>
      <c r="C114" t="s">
        <v>102</v>
      </c>
      <c r="D114" t="s">
        <v>108</v>
      </c>
      <c r="E114" t="s">
        <v>128</v>
      </c>
      <c r="F114" t="s">
        <v>82</v>
      </c>
      <c r="G114" t="s">
        <v>75</v>
      </c>
      <c r="H114">
        <v>4</v>
      </c>
      <c r="I114" s="7">
        <v>34.57</v>
      </c>
      <c r="J114" s="8">
        <v>0.05</v>
      </c>
      <c r="K114" s="7">
        <v>17.12</v>
      </c>
      <c r="L114" s="7">
        <f t="shared" si="6"/>
        <v>138.28</v>
      </c>
      <c r="M114" s="7">
        <f t="shared" si="7"/>
        <v>6.9140000000000006</v>
      </c>
      <c r="N114" s="7">
        <f t="shared" si="8"/>
        <v>131.36600000000001</v>
      </c>
      <c r="O114" s="7">
        <f t="shared" si="9"/>
        <v>68.48</v>
      </c>
      <c r="P114" s="7">
        <f t="shared" si="10"/>
        <v>62.88600000000001</v>
      </c>
      <c r="Q114" s="8">
        <f t="shared" si="11"/>
        <v>0.47870834158001313</v>
      </c>
    </row>
    <row r="115" spans="1:17" ht="15" customHeight="1" x14ac:dyDescent="0.3">
      <c r="A115" t="s">
        <v>231</v>
      </c>
      <c r="B115" s="6">
        <v>45303</v>
      </c>
      <c r="C115" t="s">
        <v>71</v>
      </c>
      <c r="D115" t="s">
        <v>85</v>
      </c>
      <c r="E115" t="s">
        <v>173</v>
      </c>
      <c r="F115" t="s">
        <v>90</v>
      </c>
      <c r="G115" t="s">
        <v>142</v>
      </c>
      <c r="H115">
        <v>4</v>
      </c>
      <c r="I115" s="7">
        <v>518.82000000000005</v>
      </c>
      <c r="J115" s="8">
        <v>0.1</v>
      </c>
      <c r="K115" s="7">
        <v>208.58</v>
      </c>
      <c r="L115" s="7">
        <f t="shared" si="6"/>
        <v>2075.2800000000002</v>
      </c>
      <c r="M115" s="7">
        <f t="shared" si="7"/>
        <v>207.52800000000002</v>
      </c>
      <c r="N115" s="7">
        <f t="shared" si="8"/>
        <v>1867.7520000000002</v>
      </c>
      <c r="O115" s="7">
        <f t="shared" si="9"/>
        <v>834.32</v>
      </c>
      <c r="P115" s="7">
        <f t="shared" si="10"/>
        <v>1033.4320000000002</v>
      </c>
      <c r="Q115" s="8">
        <f t="shared" si="11"/>
        <v>0.55330257978575326</v>
      </c>
    </row>
    <row r="116" spans="1:17" ht="15" customHeight="1" x14ac:dyDescent="0.3">
      <c r="A116" t="s">
        <v>232</v>
      </c>
      <c r="B116" s="6">
        <v>45602</v>
      </c>
      <c r="C116" t="s">
        <v>102</v>
      </c>
      <c r="D116" t="s">
        <v>72</v>
      </c>
      <c r="E116" t="s">
        <v>98</v>
      </c>
      <c r="F116" t="s">
        <v>82</v>
      </c>
      <c r="G116" t="s">
        <v>75</v>
      </c>
      <c r="H116">
        <v>2</v>
      </c>
      <c r="I116" s="7">
        <v>1073.24</v>
      </c>
      <c r="J116" s="8">
        <v>0.05</v>
      </c>
      <c r="K116" s="7">
        <v>595.89</v>
      </c>
      <c r="L116" s="7">
        <f t="shared" si="6"/>
        <v>2146.48</v>
      </c>
      <c r="M116" s="7">
        <f t="shared" si="7"/>
        <v>107.32400000000001</v>
      </c>
      <c r="N116" s="7">
        <f t="shared" si="8"/>
        <v>2039.1559999999999</v>
      </c>
      <c r="O116" s="7">
        <f t="shared" si="9"/>
        <v>1191.78</v>
      </c>
      <c r="P116" s="7">
        <f t="shared" si="10"/>
        <v>847.37599999999998</v>
      </c>
      <c r="Q116" s="8">
        <f t="shared" si="11"/>
        <v>0.41555231674280929</v>
      </c>
    </row>
    <row r="117" spans="1:17" ht="15" customHeight="1" x14ac:dyDescent="0.3">
      <c r="A117" t="s">
        <v>233</v>
      </c>
      <c r="B117" s="6">
        <v>45309</v>
      </c>
      <c r="C117" t="s">
        <v>77</v>
      </c>
      <c r="D117" t="s">
        <v>117</v>
      </c>
      <c r="E117" t="s">
        <v>131</v>
      </c>
      <c r="F117" t="s">
        <v>82</v>
      </c>
      <c r="G117" t="s">
        <v>91</v>
      </c>
      <c r="H117">
        <v>2</v>
      </c>
      <c r="I117" s="7">
        <v>139.63999999999999</v>
      </c>
      <c r="J117" s="8">
        <v>0</v>
      </c>
      <c r="K117" s="7">
        <v>87.61</v>
      </c>
      <c r="L117" s="7">
        <f t="shared" si="6"/>
        <v>279.27999999999997</v>
      </c>
      <c r="M117" s="7">
        <f t="shared" si="7"/>
        <v>0</v>
      </c>
      <c r="N117" s="7">
        <f t="shared" si="8"/>
        <v>279.27999999999997</v>
      </c>
      <c r="O117" s="7">
        <f t="shared" si="9"/>
        <v>175.22</v>
      </c>
      <c r="P117" s="7">
        <f t="shared" si="10"/>
        <v>104.05999999999997</v>
      </c>
      <c r="Q117" s="8">
        <f t="shared" si="11"/>
        <v>0.37260097393297043</v>
      </c>
    </row>
    <row r="118" spans="1:17" ht="15" customHeight="1" x14ac:dyDescent="0.3">
      <c r="A118" t="s">
        <v>234</v>
      </c>
      <c r="B118" s="6">
        <v>45568</v>
      </c>
      <c r="C118" t="s">
        <v>79</v>
      </c>
      <c r="D118" t="s">
        <v>85</v>
      </c>
      <c r="E118" t="s">
        <v>187</v>
      </c>
      <c r="F118" t="s">
        <v>74</v>
      </c>
      <c r="G118" t="s">
        <v>106</v>
      </c>
      <c r="H118">
        <v>3</v>
      </c>
      <c r="I118" s="7">
        <v>490.41</v>
      </c>
      <c r="J118" s="8">
        <v>0.2</v>
      </c>
      <c r="K118" s="7">
        <v>257.69</v>
      </c>
      <c r="L118" s="7">
        <f t="shared" si="6"/>
        <v>1471.23</v>
      </c>
      <c r="M118" s="7">
        <f t="shared" si="7"/>
        <v>294.24600000000004</v>
      </c>
      <c r="N118" s="7">
        <f t="shared" si="8"/>
        <v>1176.9839999999999</v>
      </c>
      <c r="O118" s="7">
        <f t="shared" si="9"/>
        <v>773.06999999999994</v>
      </c>
      <c r="P118" s="7">
        <f t="shared" si="10"/>
        <v>403.91399999999999</v>
      </c>
      <c r="Q118" s="8">
        <f t="shared" si="11"/>
        <v>0.34317713749719625</v>
      </c>
    </row>
    <row r="119" spans="1:17" ht="15" customHeight="1" x14ac:dyDescent="0.3">
      <c r="A119" t="s">
        <v>235</v>
      </c>
      <c r="B119" s="6">
        <v>45465</v>
      </c>
      <c r="C119" t="s">
        <v>71</v>
      </c>
      <c r="D119" t="s">
        <v>85</v>
      </c>
      <c r="E119" t="s">
        <v>103</v>
      </c>
      <c r="F119" t="s">
        <v>82</v>
      </c>
      <c r="G119" t="s">
        <v>142</v>
      </c>
      <c r="H119">
        <v>4</v>
      </c>
      <c r="I119" s="7">
        <v>470.19</v>
      </c>
      <c r="J119" s="8">
        <v>0</v>
      </c>
      <c r="K119" s="7">
        <v>204.62</v>
      </c>
      <c r="L119" s="7">
        <f t="shared" si="6"/>
        <v>1880.76</v>
      </c>
      <c r="M119" s="7">
        <f t="shared" si="7"/>
        <v>0</v>
      </c>
      <c r="N119" s="7">
        <f t="shared" si="8"/>
        <v>1880.76</v>
      </c>
      <c r="O119" s="7">
        <f t="shared" si="9"/>
        <v>818.48</v>
      </c>
      <c r="P119" s="7">
        <f t="shared" si="10"/>
        <v>1062.28</v>
      </c>
      <c r="Q119" s="8">
        <f t="shared" si="11"/>
        <v>0.56481422403709136</v>
      </c>
    </row>
    <row r="120" spans="1:17" ht="15" customHeight="1" x14ac:dyDescent="0.3">
      <c r="A120" t="s">
        <v>236</v>
      </c>
      <c r="B120" s="6">
        <v>45494</v>
      </c>
      <c r="C120" t="s">
        <v>93</v>
      </c>
      <c r="D120" t="s">
        <v>117</v>
      </c>
      <c r="E120" t="s">
        <v>140</v>
      </c>
      <c r="F120" t="s">
        <v>82</v>
      </c>
      <c r="G120" t="s">
        <v>94</v>
      </c>
      <c r="H120">
        <v>5</v>
      </c>
      <c r="I120" s="7">
        <v>85.34</v>
      </c>
      <c r="J120" s="8">
        <v>0</v>
      </c>
      <c r="K120" s="7">
        <v>43.84</v>
      </c>
      <c r="L120" s="7">
        <f t="shared" si="6"/>
        <v>426.70000000000005</v>
      </c>
      <c r="M120" s="7">
        <f t="shared" si="7"/>
        <v>0</v>
      </c>
      <c r="N120" s="7">
        <f t="shared" si="8"/>
        <v>426.70000000000005</v>
      </c>
      <c r="O120" s="7">
        <f t="shared" si="9"/>
        <v>219.20000000000002</v>
      </c>
      <c r="P120" s="7">
        <f t="shared" si="10"/>
        <v>207.50000000000003</v>
      </c>
      <c r="Q120" s="8">
        <f t="shared" si="11"/>
        <v>0.4862901335833138</v>
      </c>
    </row>
    <row r="121" spans="1:17" ht="15" customHeight="1" x14ac:dyDescent="0.3">
      <c r="A121" t="s">
        <v>237</v>
      </c>
      <c r="B121" s="6">
        <v>45347</v>
      </c>
      <c r="C121" t="s">
        <v>102</v>
      </c>
      <c r="D121" t="s">
        <v>85</v>
      </c>
      <c r="E121" t="s">
        <v>173</v>
      </c>
      <c r="F121" t="s">
        <v>90</v>
      </c>
      <c r="G121" t="s">
        <v>87</v>
      </c>
      <c r="H121">
        <v>4</v>
      </c>
      <c r="I121" s="7">
        <v>433.95</v>
      </c>
      <c r="J121" s="8">
        <v>0</v>
      </c>
      <c r="K121" s="7">
        <v>240.79</v>
      </c>
      <c r="L121" s="7">
        <f t="shared" si="6"/>
        <v>1735.8</v>
      </c>
      <c r="M121" s="7">
        <f t="shared" si="7"/>
        <v>0</v>
      </c>
      <c r="N121" s="7">
        <f t="shared" si="8"/>
        <v>1735.8</v>
      </c>
      <c r="O121" s="7">
        <f t="shared" si="9"/>
        <v>963.16</v>
      </c>
      <c r="P121" s="7">
        <f t="shared" si="10"/>
        <v>772.64</v>
      </c>
      <c r="Q121" s="8">
        <f t="shared" si="11"/>
        <v>0.44512040557667937</v>
      </c>
    </row>
    <row r="122" spans="1:17" ht="15" customHeight="1" x14ac:dyDescent="0.3">
      <c r="A122" t="s">
        <v>238</v>
      </c>
      <c r="B122" s="6">
        <v>45617</v>
      </c>
      <c r="C122" t="s">
        <v>93</v>
      </c>
      <c r="D122" t="s">
        <v>80</v>
      </c>
      <c r="E122" t="s">
        <v>89</v>
      </c>
      <c r="F122" t="s">
        <v>74</v>
      </c>
      <c r="G122" t="s">
        <v>94</v>
      </c>
      <c r="H122">
        <v>3</v>
      </c>
      <c r="I122" s="7">
        <v>271.82</v>
      </c>
      <c r="J122" s="8">
        <v>0.15</v>
      </c>
      <c r="K122" s="7">
        <v>116.66</v>
      </c>
      <c r="L122" s="7">
        <f t="shared" si="6"/>
        <v>815.46</v>
      </c>
      <c r="M122" s="7">
        <f t="shared" si="7"/>
        <v>122.319</v>
      </c>
      <c r="N122" s="7">
        <f t="shared" si="8"/>
        <v>693.14100000000008</v>
      </c>
      <c r="O122" s="7">
        <f t="shared" si="9"/>
        <v>349.98</v>
      </c>
      <c r="P122" s="7">
        <f t="shared" si="10"/>
        <v>343.16100000000006</v>
      </c>
      <c r="Q122" s="8">
        <f t="shared" si="11"/>
        <v>0.49508108739780221</v>
      </c>
    </row>
    <row r="123" spans="1:17" ht="15" customHeight="1" x14ac:dyDescent="0.3">
      <c r="A123" t="s">
        <v>239</v>
      </c>
      <c r="B123" s="6">
        <v>45341</v>
      </c>
      <c r="C123" t="s">
        <v>71</v>
      </c>
      <c r="D123" t="s">
        <v>72</v>
      </c>
      <c r="E123" t="s">
        <v>73</v>
      </c>
      <c r="F123" t="s">
        <v>82</v>
      </c>
      <c r="G123" t="s">
        <v>94</v>
      </c>
      <c r="H123">
        <v>5</v>
      </c>
      <c r="I123" s="7">
        <v>710.27</v>
      </c>
      <c r="J123" s="8">
        <v>0.05</v>
      </c>
      <c r="K123" s="7">
        <v>353.12</v>
      </c>
      <c r="L123" s="7">
        <f t="shared" si="6"/>
        <v>3551.35</v>
      </c>
      <c r="M123" s="7">
        <f t="shared" si="7"/>
        <v>177.5675</v>
      </c>
      <c r="N123" s="7">
        <f t="shared" si="8"/>
        <v>3373.7824999999998</v>
      </c>
      <c r="O123" s="7">
        <f t="shared" si="9"/>
        <v>1765.6</v>
      </c>
      <c r="P123" s="7">
        <f t="shared" si="10"/>
        <v>1608.1824999999999</v>
      </c>
      <c r="Q123" s="8">
        <f t="shared" si="11"/>
        <v>0.47667047297802984</v>
      </c>
    </row>
    <row r="124" spans="1:17" ht="15" customHeight="1" x14ac:dyDescent="0.3">
      <c r="A124" t="s">
        <v>240</v>
      </c>
      <c r="B124" s="6">
        <v>45504</v>
      </c>
      <c r="C124" t="s">
        <v>102</v>
      </c>
      <c r="D124" t="s">
        <v>85</v>
      </c>
      <c r="E124" t="s">
        <v>173</v>
      </c>
      <c r="F124" t="s">
        <v>90</v>
      </c>
      <c r="G124" t="s">
        <v>106</v>
      </c>
      <c r="H124">
        <v>4</v>
      </c>
      <c r="I124" s="7">
        <v>428.38</v>
      </c>
      <c r="J124" s="8">
        <v>0.2</v>
      </c>
      <c r="K124" s="7">
        <v>215.06</v>
      </c>
      <c r="L124" s="7">
        <f t="shared" si="6"/>
        <v>1713.52</v>
      </c>
      <c r="M124" s="7">
        <f t="shared" si="7"/>
        <v>342.70400000000001</v>
      </c>
      <c r="N124" s="7">
        <f t="shared" si="8"/>
        <v>1370.816</v>
      </c>
      <c r="O124" s="7">
        <f t="shared" si="9"/>
        <v>860.24</v>
      </c>
      <c r="P124" s="7">
        <f t="shared" si="10"/>
        <v>510.57600000000002</v>
      </c>
      <c r="Q124" s="8">
        <f t="shared" si="11"/>
        <v>0.37246136607684766</v>
      </c>
    </row>
    <row r="125" spans="1:17" ht="15" customHeight="1" x14ac:dyDescent="0.3">
      <c r="A125" t="s">
        <v>241</v>
      </c>
      <c r="B125" s="6">
        <v>45519</v>
      </c>
      <c r="C125" t="s">
        <v>71</v>
      </c>
      <c r="D125" t="s">
        <v>85</v>
      </c>
      <c r="E125" t="s">
        <v>100</v>
      </c>
      <c r="F125" t="s">
        <v>74</v>
      </c>
      <c r="G125" t="s">
        <v>91</v>
      </c>
      <c r="H125">
        <v>3</v>
      </c>
      <c r="I125" s="7">
        <v>511.16</v>
      </c>
      <c r="J125" s="8">
        <v>0</v>
      </c>
      <c r="K125" s="7">
        <v>329.82</v>
      </c>
      <c r="L125" s="7">
        <f t="shared" si="6"/>
        <v>1533.48</v>
      </c>
      <c r="M125" s="7">
        <f t="shared" si="7"/>
        <v>0</v>
      </c>
      <c r="N125" s="7">
        <f t="shared" si="8"/>
        <v>1533.48</v>
      </c>
      <c r="O125" s="7">
        <f t="shared" si="9"/>
        <v>989.46</v>
      </c>
      <c r="P125" s="7">
        <f t="shared" si="10"/>
        <v>544.02</v>
      </c>
      <c r="Q125" s="8">
        <f t="shared" si="11"/>
        <v>0.35476171844432269</v>
      </c>
    </row>
    <row r="126" spans="1:17" ht="15" customHeight="1" x14ac:dyDescent="0.3">
      <c r="A126" t="s">
        <v>242</v>
      </c>
      <c r="B126" s="6">
        <v>45433</v>
      </c>
      <c r="C126" t="s">
        <v>71</v>
      </c>
      <c r="D126" t="s">
        <v>85</v>
      </c>
      <c r="E126" t="s">
        <v>173</v>
      </c>
      <c r="F126" t="s">
        <v>74</v>
      </c>
      <c r="G126" t="s">
        <v>135</v>
      </c>
      <c r="H126">
        <v>1</v>
      </c>
      <c r="I126" s="7">
        <v>298.14999999999998</v>
      </c>
      <c r="J126" s="8">
        <v>0.15</v>
      </c>
      <c r="K126" s="7">
        <v>126.09</v>
      </c>
      <c r="L126" s="7">
        <f t="shared" si="6"/>
        <v>298.14999999999998</v>
      </c>
      <c r="M126" s="7">
        <f t="shared" si="7"/>
        <v>44.722499999999997</v>
      </c>
      <c r="N126" s="7">
        <f t="shared" si="8"/>
        <v>253.42749999999998</v>
      </c>
      <c r="O126" s="7">
        <f t="shared" si="9"/>
        <v>126.09</v>
      </c>
      <c r="P126" s="7">
        <f t="shared" si="10"/>
        <v>127.33749999999998</v>
      </c>
      <c r="Q126" s="8">
        <f t="shared" si="11"/>
        <v>0.50246125617780224</v>
      </c>
    </row>
    <row r="127" spans="1:17" ht="15" customHeight="1" x14ac:dyDescent="0.3">
      <c r="A127" t="s">
        <v>243</v>
      </c>
      <c r="B127" s="6">
        <v>45416</v>
      </c>
      <c r="C127" t="s">
        <v>77</v>
      </c>
      <c r="D127" t="s">
        <v>117</v>
      </c>
      <c r="E127" t="s">
        <v>118</v>
      </c>
      <c r="F127" t="s">
        <v>74</v>
      </c>
      <c r="G127" t="s">
        <v>87</v>
      </c>
      <c r="H127">
        <v>5</v>
      </c>
      <c r="I127" s="7">
        <v>178.93</v>
      </c>
      <c r="J127" s="8">
        <v>0.05</v>
      </c>
      <c r="K127" s="7">
        <v>74.64</v>
      </c>
      <c r="L127" s="7">
        <f t="shared" si="6"/>
        <v>894.65000000000009</v>
      </c>
      <c r="M127" s="7">
        <f t="shared" si="7"/>
        <v>44.732500000000009</v>
      </c>
      <c r="N127" s="7">
        <f t="shared" si="8"/>
        <v>849.91750000000013</v>
      </c>
      <c r="O127" s="7">
        <f t="shared" si="9"/>
        <v>373.2</v>
      </c>
      <c r="P127" s="7">
        <f t="shared" si="10"/>
        <v>476.71750000000014</v>
      </c>
      <c r="Q127" s="8">
        <f t="shared" si="11"/>
        <v>0.56089855780119846</v>
      </c>
    </row>
    <row r="128" spans="1:17" ht="15" customHeight="1" x14ac:dyDescent="0.3">
      <c r="A128" t="s">
        <v>244</v>
      </c>
      <c r="B128" s="6">
        <v>45460</v>
      </c>
      <c r="C128" t="s">
        <v>93</v>
      </c>
      <c r="D128" t="s">
        <v>80</v>
      </c>
      <c r="E128" t="s">
        <v>159</v>
      </c>
      <c r="F128" t="s">
        <v>74</v>
      </c>
      <c r="G128" t="s">
        <v>75</v>
      </c>
      <c r="H128">
        <v>5</v>
      </c>
      <c r="I128" s="7">
        <v>263.89999999999998</v>
      </c>
      <c r="J128" s="8">
        <v>0</v>
      </c>
      <c r="K128" s="7">
        <v>123.85</v>
      </c>
      <c r="L128" s="7">
        <f t="shared" si="6"/>
        <v>1319.5</v>
      </c>
      <c r="M128" s="7">
        <f t="shared" si="7"/>
        <v>0</v>
      </c>
      <c r="N128" s="7">
        <f t="shared" si="8"/>
        <v>1319.5</v>
      </c>
      <c r="O128" s="7">
        <f t="shared" si="9"/>
        <v>619.25</v>
      </c>
      <c r="P128" s="7">
        <f t="shared" si="10"/>
        <v>700.25</v>
      </c>
      <c r="Q128" s="8">
        <f t="shared" si="11"/>
        <v>0.53069344448654798</v>
      </c>
    </row>
    <row r="129" spans="1:17" ht="15" customHeight="1" x14ac:dyDescent="0.3">
      <c r="A129" t="s">
        <v>245</v>
      </c>
      <c r="B129" s="6">
        <v>45348</v>
      </c>
      <c r="C129" t="s">
        <v>93</v>
      </c>
      <c r="D129" t="s">
        <v>117</v>
      </c>
      <c r="E129" t="s">
        <v>133</v>
      </c>
      <c r="F129" t="s">
        <v>82</v>
      </c>
      <c r="G129" t="s">
        <v>106</v>
      </c>
      <c r="H129">
        <v>1</v>
      </c>
      <c r="I129" s="7">
        <v>147.46</v>
      </c>
      <c r="J129" s="8">
        <v>0.05</v>
      </c>
      <c r="K129" s="7">
        <v>59.53</v>
      </c>
      <c r="L129" s="7">
        <f t="shared" si="6"/>
        <v>147.46</v>
      </c>
      <c r="M129" s="7">
        <f t="shared" si="7"/>
        <v>7.3730000000000011</v>
      </c>
      <c r="N129" s="7">
        <f t="shared" si="8"/>
        <v>140.08700000000002</v>
      </c>
      <c r="O129" s="7">
        <f t="shared" si="9"/>
        <v>59.53</v>
      </c>
      <c r="P129" s="7">
        <f t="shared" si="10"/>
        <v>80.557000000000016</v>
      </c>
      <c r="Q129" s="8">
        <f t="shared" si="11"/>
        <v>0.57504979048734006</v>
      </c>
    </row>
    <row r="130" spans="1:17" ht="15" customHeight="1" x14ac:dyDescent="0.3">
      <c r="A130" t="s">
        <v>246</v>
      </c>
      <c r="B130" s="6">
        <v>45427</v>
      </c>
      <c r="C130" t="s">
        <v>71</v>
      </c>
      <c r="D130" t="s">
        <v>117</v>
      </c>
      <c r="E130" t="s">
        <v>118</v>
      </c>
      <c r="F130" t="s">
        <v>74</v>
      </c>
      <c r="G130" t="s">
        <v>106</v>
      </c>
      <c r="H130">
        <v>4</v>
      </c>
      <c r="I130" s="7">
        <v>89.03</v>
      </c>
      <c r="J130" s="8">
        <v>0.2</v>
      </c>
      <c r="K130" s="7">
        <v>38.14</v>
      </c>
      <c r="L130" s="7">
        <f t="shared" ref="L130:L193" si="12">H130*I130</f>
        <v>356.12</v>
      </c>
      <c r="M130" s="7">
        <f t="shared" ref="M130:M193" si="13">L130*J130</f>
        <v>71.224000000000004</v>
      </c>
      <c r="N130" s="7">
        <f t="shared" ref="N130:N193" si="14">L130-M130</f>
        <v>284.89600000000002</v>
      </c>
      <c r="O130" s="7">
        <f t="shared" ref="O130:O193" si="15">H130*K130</f>
        <v>152.56</v>
      </c>
      <c r="P130" s="7">
        <f t="shared" ref="P130:P193" si="16">N130-O130</f>
        <v>132.33600000000001</v>
      </c>
      <c r="Q130" s="8">
        <f t="shared" ref="Q130:Q193" si="17">IF(N130=0,0,P130/N130)</f>
        <v>0.46450634617544651</v>
      </c>
    </row>
    <row r="131" spans="1:17" ht="15" customHeight="1" x14ac:dyDescent="0.3">
      <c r="A131" t="s">
        <v>247</v>
      </c>
      <c r="B131" s="6">
        <v>45595</v>
      </c>
      <c r="C131" t="s">
        <v>102</v>
      </c>
      <c r="D131" t="s">
        <v>72</v>
      </c>
      <c r="E131" t="s">
        <v>96</v>
      </c>
      <c r="F131" t="s">
        <v>82</v>
      </c>
      <c r="G131" t="s">
        <v>114</v>
      </c>
      <c r="H131">
        <v>5</v>
      </c>
      <c r="I131" s="7">
        <v>629.79</v>
      </c>
      <c r="J131" s="8">
        <v>0.05</v>
      </c>
      <c r="K131" s="7">
        <v>400.77</v>
      </c>
      <c r="L131" s="7">
        <f t="shared" si="12"/>
        <v>3148.95</v>
      </c>
      <c r="M131" s="7">
        <f t="shared" si="13"/>
        <v>157.44749999999999</v>
      </c>
      <c r="N131" s="7">
        <f t="shared" si="14"/>
        <v>2991.5024999999996</v>
      </c>
      <c r="O131" s="7">
        <f t="shared" si="15"/>
        <v>2003.85</v>
      </c>
      <c r="P131" s="7">
        <f t="shared" si="16"/>
        <v>987.65249999999969</v>
      </c>
      <c r="Q131" s="8">
        <f t="shared" si="17"/>
        <v>0.33015265740209138</v>
      </c>
    </row>
    <row r="132" spans="1:17" ht="15" customHeight="1" x14ac:dyDescent="0.3">
      <c r="A132" t="s">
        <v>248</v>
      </c>
      <c r="B132" s="6">
        <v>45323</v>
      </c>
      <c r="C132" t="s">
        <v>71</v>
      </c>
      <c r="D132" t="s">
        <v>72</v>
      </c>
      <c r="E132" t="s">
        <v>98</v>
      </c>
      <c r="F132" t="s">
        <v>82</v>
      </c>
      <c r="G132" t="s">
        <v>110</v>
      </c>
      <c r="H132">
        <v>4</v>
      </c>
      <c r="I132" s="7">
        <v>1199.0999999999999</v>
      </c>
      <c r="J132" s="8">
        <v>0.15</v>
      </c>
      <c r="K132" s="7">
        <v>685.31</v>
      </c>
      <c r="L132" s="7">
        <f t="shared" si="12"/>
        <v>4796.3999999999996</v>
      </c>
      <c r="M132" s="7">
        <f t="shared" si="13"/>
        <v>719.45999999999992</v>
      </c>
      <c r="N132" s="7">
        <f t="shared" si="14"/>
        <v>4076.9399999999996</v>
      </c>
      <c r="O132" s="7">
        <f t="shared" si="15"/>
        <v>2741.24</v>
      </c>
      <c r="P132" s="7">
        <f t="shared" si="16"/>
        <v>1335.6999999999998</v>
      </c>
      <c r="Q132" s="8">
        <f t="shared" si="17"/>
        <v>0.32762316835665967</v>
      </c>
    </row>
    <row r="133" spans="1:17" ht="15" customHeight="1" x14ac:dyDescent="0.3">
      <c r="A133" t="s">
        <v>249</v>
      </c>
      <c r="B133" s="6">
        <v>45603</v>
      </c>
      <c r="C133" t="s">
        <v>77</v>
      </c>
      <c r="D133" t="s">
        <v>108</v>
      </c>
      <c r="E133" t="s">
        <v>162</v>
      </c>
      <c r="F133" t="s">
        <v>74</v>
      </c>
      <c r="G133" t="s">
        <v>87</v>
      </c>
      <c r="H133">
        <v>5</v>
      </c>
      <c r="I133" s="7">
        <v>20.47</v>
      </c>
      <c r="J133" s="8">
        <v>0.1</v>
      </c>
      <c r="K133" s="7">
        <v>11.38</v>
      </c>
      <c r="L133" s="7">
        <f t="shared" si="12"/>
        <v>102.35</v>
      </c>
      <c r="M133" s="7">
        <f t="shared" si="13"/>
        <v>10.234999999999999</v>
      </c>
      <c r="N133" s="7">
        <f t="shared" si="14"/>
        <v>92.114999999999995</v>
      </c>
      <c r="O133" s="7">
        <f t="shared" si="15"/>
        <v>56.900000000000006</v>
      </c>
      <c r="P133" s="7">
        <f t="shared" si="16"/>
        <v>35.214999999999989</v>
      </c>
      <c r="Q133" s="8">
        <f t="shared" si="17"/>
        <v>0.38229387179069629</v>
      </c>
    </row>
    <row r="134" spans="1:17" ht="15" customHeight="1" x14ac:dyDescent="0.3">
      <c r="A134" t="s">
        <v>250</v>
      </c>
      <c r="B134" s="6">
        <v>45563</v>
      </c>
      <c r="C134" t="s">
        <v>71</v>
      </c>
      <c r="D134" t="s">
        <v>80</v>
      </c>
      <c r="E134" t="s">
        <v>138</v>
      </c>
      <c r="F134" t="s">
        <v>82</v>
      </c>
      <c r="G134" t="s">
        <v>83</v>
      </c>
      <c r="H134">
        <v>5</v>
      </c>
      <c r="I134" s="7">
        <v>187.18</v>
      </c>
      <c r="J134" s="8">
        <v>0.2</v>
      </c>
      <c r="K134" s="7">
        <v>95</v>
      </c>
      <c r="L134" s="7">
        <f t="shared" si="12"/>
        <v>935.90000000000009</v>
      </c>
      <c r="M134" s="7">
        <f t="shared" si="13"/>
        <v>187.18000000000004</v>
      </c>
      <c r="N134" s="7">
        <f t="shared" si="14"/>
        <v>748.72</v>
      </c>
      <c r="O134" s="7">
        <f t="shared" si="15"/>
        <v>475</v>
      </c>
      <c r="P134" s="7">
        <f t="shared" si="16"/>
        <v>273.72000000000003</v>
      </c>
      <c r="Q134" s="8">
        <f t="shared" si="17"/>
        <v>0.36558392990704136</v>
      </c>
    </row>
    <row r="135" spans="1:17" ht="15" customHeight="1" x14ac:dyDescent="0.3">
      <c r="A135" t="s">
        <v>251</v>
      </c>
      <c r="B135" s="6">
        <v>45408</v>
      </c>
      <c r="C135" t="s">
        <v>79</v>
      </c>
      <c r="D135" t="s">
        <v>72</v>
      </c>
      <c r="E135" t="s">
        <v>98</v>
      </c>
      <c r="F135" t="s">
        <v>82</v>
      </c>
      <c r="G135" t="s">
        <v>91</v>
      </c>
      <c r="H135">
        <v>4</v>
      </c>
      <c r="I135" s="7">
        <v>824.84</v>
      </c>
      <c r="J135" s="8">
        <v>0.15</v>
      </c>
      <c r="K135" s="7">
        <v>415.72</v>
      </c>
      <c r="L135" s="7">
        <f t="shared" si="12"/>
        <v>3299.36</v>
      </c>
      <c r="M135" s="7">
        <f t="shared" si="13"/>
        <v>494.904</v>
      </c>
      <c r="N135" s="7">
        <f t="shared" si="14"/>
        <v>2804.4560000000001</v>
      </c>
      <c r="O135" s="7">
        <f t="shared" si="15"/>
        <v>1662.88</v>
      </c>
      <c r="P135" s="7">
        <f t="shared" si="16"/>
        <v>1141.576</v>
      </c>
      <c r="Q135" s="8">
        <f t="shared" si="17"/>
        <v>0.40705791069640601</v>
      </c>
    </row>
    <row r="136" spans="1:17" ht="15" customHeight="1" x14ac:dyDescent="0.3">
      <c r="A136" t="s">
        <v>252</v>
      </c>
      <c r="B136" s="6">
        <v>45483</v>
      </c>
      <c r="C136" t="s">
        <v>102</v>
      </c>
      <c r="D136" t="s">
        <v>72</v>
      </c>
      <c r="E136" t="s">
        <v>123</v>
      </c>
      <c r="F136" t="s">
        <v>82</v>
      </c>
      <c r="G136" t="s">
        <v>142</v>
      </c>
      <c r="H136">
        <v>4</v>
      </c>
      <c r="I136" s="7">
        <v>1170.3</v>
      </c>
      <c r="J136" s="8">
        <v>0</v>
      </c>
      <c r="K136" s="7">
        <v>494.81</v>
      </c>
      <c r="L136" s="7">
        <f t="shared" si="12"/>
        <v>4681.2</v>
      </c>
      <c r="M136" s="7">
        <f t="shared" si="13"/>
        <v>0</v>
      </c>
      <c r="N136" s="7">
        <f t="shared" si="14"/>
        <v>4681.2</v>
      </c>
      <c r="O136" s="7">
        <f t="shared" si="15"/>
        <v>1979.24</v>
      </c>
      <c r="P136" s="7">
        <f t="shared" si="16"/>
        <v>2701.96</v>
      </c>
      <c r="Q136" s="8">
        <f t="shared" si="17"/>
        <v>0.57719388191062126</v>
      </c>
    </row>
    <row r="137" spans="1:17" ht="15" customHeight="1" x14ac:dyDescent="0.3">
      <c r="A137" t="s">
        <v>253</v>
      </c>
      <c r="B137" s="6">
        <v>45358</v>
      </c>
      <c r="C137" t="s">
        <v>102</v>
      </c>
      <c r="D137" t="s">
        <v>72</v>
      </c>
      <c r="E137" t="s">
        <v>73</v>
      </c>
      <c r="F137" t="s">
        <v>74</v>
      </c>
      <c r="G137" t="s">
        <v>87</v>
      </c>
      <c r="H137">
        <v>5</v>
      </c>
      <c r="I137" s="7">
        <v>916.08</v>
      </c>
      <c r="J137" s="8">
        <v>0.2</v>
      </c>
      <c r="K137" s="7">
        <v>495.07</v>
      </c>
      <c r="L137" s="7">
        <f t="shared" si="12"/>
        <v>4580.4000000000005</v>
      </c>
      <c r="M137" s="7">
        <f t="shared" si="13"/>
        <v>916.08000000000015</v>
      </c>
      <c r="N137" s="7">
        <f t="shared" si="14"/>
        <v>3664.3200000000006</v>
      </c>
      <c r="O137" s="7">
        <f t="shared" si="15"/>
        <v>2475.35</v>
      </c>
      <c r="P137" s="7">
        <f t="shared" si="16"/>
        <v>1188.9700000000007</v>
      </c>
      <c r="Q137" s="8">
        <f t="shared" si="17"/>
        <v>0.32447220766745277</v>
      </c>
    </row>
    <row r="138" spans="1:17" ht="15" customHeight="1" x14ac:dyDescent="0.3">
      <c r="A138" t="s">
        <v>254</v>
      </c>
      <c r="B138" s="6">
        <v>45318</v>
      </c>
      <c r="C138" t="s">
        <v>71</v>
      </c>
      <c r="D138" t="s">
        <v>72</v>
      </c>
      <c r="E138" t="s">
        <v>96</v>
      </c>
      <c r="F138" t="s">
        <v>90</v>
      </c>
      <c r="G138" t="s">
        <v>135</v>
      </c>
      <c r="H138">
        <v>5</v>
      </c>
      <c r="I138" s="7">
        <v>1179.78</v>
      </c>
      <c r="J138" s="8">
        <v>0.1</v>
      </c>
      <c r="K138" s="7">
        <v>575.63</v>
      </c>
      <c r="L138" s="7">
        <f t="shared" si="12"/>
        <v>5898.9</v>
      </c>
      <c r="M138" s="7">
        <f t="shared" si="13"/>
        <v>589.89</v>
      </c>
      <c r="N138" s="7">
        <f t="shared" si="14"/>
        <v>5309.0099999999993</v>
      </c>
      <c r="O138" s="7">
        <f t="shared" si="15"/>
        <v>2878.15</v>
      </c>
      <c r="P138" s="7">
        <f t="shared" si="16"/>
        <v>2430.8599999999992</v>
      </c>
      <c r="Q138" s="8">
        <f t="shared" si="17"/>
        <v>0.45787444363450053</v>
      </c>
    </row>
    <row r="139" spans="1:17" ht="15" customHeight="1" x14ac:dyDescent="0.3">
      <c r="A139" t="s">
        <v>255</v>
      </c>
      <c r="B139" s="6">
        <v>45406</v>
      </c>
      <c r="C139" t="s">
        <v>79</v>
      </c>
      <c r="D139" t="s">
        <v>80</v>
      </c>
      <c r="E139" t="s">
        <v>138</v>
      </c>
      <c r="F139" t="s">
        <v>74</v>
      </c>
      <c r="G139" t="s">
        <v>91</v>
      </c>
      <c r="H139">
        <v>3</v>
      </c>
      <c r="I139" s="7">
        <v>275.56</v>
      </c>
      <c r="J139" s="8">
        <v>0.2</v>
      </c>
      <c r="K139" s="7">
        <v>135.55000000000001</v>
      </c>
      <c r="L139" s="7">
        <f t="shared" si="12"/>
        <v>826.68000000000006</v>
      </c>
      <c r="M139" s="7">
        <f t="shared" si="13"/>
        <v>165.33600000000001</v>
      </c>
      <c r="N139" s="7">
        <f t="shared" si="14"/>
        <v>661.34400000000005</v>
      </c>
      <c r="O139" s="7">
        <f t="shared" si="15"/>
        <v>406.65000000000003</v>
      </c>
      <c r="P139" s="7">
        <f t="shared" si="16"/>
        <v>254.69400000000002</v>
      </c>
      <c r="Q139" s="8">
        <f t="shared" si="17"/>
        <v>0.38511576426186672</v>
      </c>
    </row>
    <row r="140" spans="1:17" ht="15" customHeight="1" x14ac:dyDescent="0.3">
      <c r="A140" t="s">
        <v>256</v>
      </c>
      <c r="B140" s="6">
        <v>45610</v>
      </c>
      <c r="C140" t="s">
        <v>79</v>
      </c>
      <c r="D140" t="s">
        <v>85</v>
      </c>
      <c r="E140" t="s">
        <v>173</v>
      </c>
      <c r="F140" t="s">
        <v>82</v>
      </c>
      <c r="G140" t="s">
        <v>114</v>
      </c>
      <c r="H140">
        <v>5</v>
      </c>
      <c r="I140" s="7">
        <v>416.8</v>
      </c>
      <c r="J140" s="8">
        <v>0</v>
      </c>
      <c r="K140" s="7">
        <v>230.18</v>
      </c>
      <c r="L140" s="7">
        <f t="shared" si="12"/>
        <v>2084</v>
      </c>
      <c r="M140" s="7">
        <f t="shared" si="13"/>
        <v>0</v>
      </c>
      <c r="N140" s="7">
        <f t="shared" si="14"/>
        <v>2084</v>
      </c>
      <c r="O140" s="7">
        <f t="shared" si="15"/>
        <v>1150.9000000000001</v>
      </c>
      <c r="P140" s="7">
        <f t="shared" si="16"/>
        <v>933.09999999999991</v>
      </c>
      <c r="Q140" s="8">
        <f t="shared" si="17"/>
        <v>0.44774472168905943</v>
      </c>
    </row>
    <row r="141" spans="1:17" ht="15" customHeight="1" x14ac:dyDescent="0.3">
      <c r="A141" t="s">
        <v>257</v>
      </c>
      <c r="B141" s="6">
        <v>45465</v>
      </c>
      <c r="C141" t="s">
        <v>79</v>
      </c>
      <c r="D141" t="s">
        <v>85</v>
      </c>
      <c r="E141" t="s">
        <v>100</v>
      </c>
      <c r="F141" t="s">
        <v>82</v>
      </c>
      <c r="G141" t="s">
        <v>142</v>
      </c>
      <c r="H141">
        <v>2</v>
      </c>
      <c r="I141" s="7">
        <v>343.29</v>
      </c>
      <c r="J141" s="8">
        <v>0.05</v>
      </c>
      <c r="K141" s="7">
        <v>185.92</v>
      </c>
      <c r="L141" s="7">
        <f t="shared" si="12"/>
        <v>686.58</v>
      </c>
      <c r="M141" s="7">
        <f t="shared" si="13"/>
        <v>34.329000000000001</v>
      </c>
      <c r="N141" s="7">
        <f t="shared" si="14"/>
        <v>652.25100000000009</v>
      </c>
      <c r="O141" s="7">
        <f t="shared" si="15"/>
        <v>371.84</v>
      </c>
      <c r="P141" s="7">
        <f t="shared" si="16"/>
        <v>280.41100000000012</v>
      </c>
      <c r="Q141" s="8">
        <f t="shared" si="17"/>
        <v>0.42991271765010719</v>
      </c>
    </row>
    <row r="142" spans="1:17" ht="15" customHeight="1" x14ac:dyDescent="0.3">
      <c r="A142" t="s">
        <v>258</v>
      </c>
      <c r="B142" s="6">
        <v>45338</v>
      </c>
      <c r="C142" t="s">
        <v>79</v>
      </c>
      <c r="D142" t="s">
        <v>108</v>
      </c>
      <c r="E142" t="s">
        <v>200</v>
      </c>
      <c r="F142" t="s">
        <v>90</v>
      </c>
      <c r="G142" t="s">
        <v>110</v>
      </c>
      <c r="H142">
        <v>7</v>
      </c>
      <c r="I142" s="7">
        <v>32.42</v>
      </c>
      <c r="J142" s="8">
        <v>0.15</v>
      </c>
      <c r="K142" s="7">
        <v>16.37</v>
      </c>
      <c r="L142" s="7">
        <f t="shared" si="12"/>
        <v>226.94</v>
      </c>
      <c r="M142" s="7">
        <f t="shared" si="13"/>
        <v>34.040999999999997</v>
      </c>
      <c r="N142" s="7">
        <f t="shared" si="14"/>
        <v>192.899</v>
      </c>
      <c r="O142" s="7">
        <f t="shared" si="15"/>
        <v>114.59</v>
      </c>
      <c r="P142" s="7">
        <f t="shared" si="16"/>
        <v>78.308999999999997</v>
      </c>
      <c r="Q142" s="8">
        <f t="shared" si="17"/>
        <v>0.40595855862394309</v>
      </c>
    </row>
    <row r="143" spans="1:17" ht="15" customHeight="1" x14ac:dyDescent="0.3">
      <c r="A143" t="s">
        <v>259</v>
      </c>
      <c r="B143" s="6">
        <v>45582</v>
      </c>
      <c r="C143" t="s">
        <v>71</v>
      </c>
      <c r="D143" t="s">
        <v>85</v>
      </c>
      <c r="E143" t="s">
        <v>103</v>
      </c>
      <c r="F143" t="s">
        <v>82</v>
      </c>
      <c r="G143" t="s">
        <v>87</v>
      </c>
      <c r="H143">
        <v>1</v>
      </c>
      <c r="I143" s="7">
        <v>411.94</v>
      </c>
      <c r="J143" s="8">
        <v>0.05</v>
      </c>
      <c r="K143" s="7">
        <v>180.99</v>
      </c>
      <c r="L143" s="7">
        <f t="shared" si="12"/>
        <v>411.94</v>
      </c>
      <c r="M143" s="7">
        <f t="shared" si="13"/>
        <v>20.597000000000001</v>
      </c>
      <c r="N143" s="7">
        <f t="shared" si="14"/>
        <v>391.34300000000002</v>
      </c>
      <c r="O143" s="7">
        <f t="shared" si="15"/>
        <v>180.99</v>
      </c>
      <c r="P143" s="7">
        <f t="shared" si="16"/>
        <v>210.35300000000001</v>
      </c>
      <c r="Q143" s="8">
        <f t="shared" si="17"/>
        <v>0.53751568317307319</v>
      </c>
    </row>
    <row r="144" spans="1:17" ht="15" customHeight="1" x14ac:dyDescent="0.3">
      <c r="A144" t="s">
        <v>260</v>
      </c>
      <c r="B144" s="6">
        <v>45630</v>
      </c>
      <c r="C144" t="s">
        <v>77</v>
      </c>
      <c r="D144" t="s">
        <v>80</v>
      </c>
      <c r="E144" t="s">
        <v>113</v>
      </c>
      <c r="F144" t="s">
        <v>82</v>
      </c>
      <c r="G144" t="s">
        <v>91</v>
      </c>
      <c r="H144">
        <v>5</v>
      </c>
      <c r="I144" s="7">
        <v>207.84</v>
      </c>
      <c r="J144" s="8">
        <v>0.15</v>
      </c>
      <c r="K144" s="7">
        <v>104.66</v>
      </c>
      <c r="L144" s="7">
        <f t="shared" si="12"/>
        <v>1039.2</v>
      </c>
      <c r="M144" s="7">
        <f t="shared" si="13"/>
        <v>155.88</v>
      </c>
      <c r="N144" s="7">
        <f t="shared" si="14"/>
        <v>883.32</v>
      </c>
      <c r="O144" s="7">
        <f t="shared" si="15"/>
        <v>523.29999999999995</v>
      </c>
      <c r="P144" s="7">
        <f t="shared" si="16"/>
        <v>360.0200000000001</v>
      </c>
      <c r="Q144" s="8">
        <f t="shared" si="17"/>
        <v>0.40757596341076857</v>
      </c>
    </row>
    <row r="145" spans="1:17" ht="15" customHeight="1" x14ac:dyDescent="0.3">
      <c r="A145" t="s">
        <v>261</v>
      </c>
      <c r="B145" s="6">
        <v>45348</v>
      </c>
      <c r="C145" t="s">
        <v>77</v>
      </c>
      <c r="D145" t="s">
        <v>117</v>
      </c>
      <c r="E145" t="s">
        <v>118</v>
      </c>
      <c r="F145" t="s">
        <v>82</v>
      </c>
      <c r="G145" t="s">
        <v>135</v>
      </c>
      <c r="H145">
        <v>5</v>
      </c>
      <c r="I145" s="7">
        <v>111.19</v>
      </c>
      <c r="J145" s="8">
        <v>0.15</v>
      </c>
      <c r="K145" s="7">
        <v>59.12</v>
      </c>
      <c r="L145" s="7">
        <f t="shared" si="12"/>
        <v>555.95000000000005</v>
      </c>
      <c r="M145" s="7">
        <f t="shared" si="13"/>
        <v>83.392499999999998</v>
      </c>
      <c r="N145" s="7">
        <f t="shared" si="14"/>
        <v>472.55750000000006</v>
      </c>
      <c r="O145" s="7">
        <f t="shared" si="15"/>
        <v>295.59999999999997</v>
      </c>
      <c r="P145" s="7">
        <f t="shared" si="16"/>
        <v>176.9575000000001</v>
      </c>
      <c r="Q145" s="8">
        <f t="shared" si="17"/>
        <v>0.37446765737502857</v>
      </c>
    </row>
    <row r="146" spans="1:17" ht="15" customHeight="1" x14ac:dyDescent="0.3">
      <c r="A146" t="s">
        <v>262</v>
      </c>
      <c r="B146" s="6">
        <v>45320</v>
      </c>
      <c r="C146" t="s">
        <v>79</v>
      </c>
      <c r="D146" t="s">
        <v>85</v>
      </c>
      <c r="E146" t="s">
        <v>100</v>
      </c>
      <c r="F146" t="s">
        <v>82</v>
      </c>
      <c r="G146" t="s">
        <v>83</v>
      </c>
      <c r="H146">
        <v>3</v>
      </c>
      <c r="I146" s="7">
        <v>247.15</v>
      </c>
      <c r="J146" s="8">
        <v>0.05</v>
      </c>
      <c r="K146" s="7">
        <v>146.27000000000001</v>
      </c>
      <c r="L146" s="7">
        <f t="shared" si="12"/>
        <v>741.45</v>
      </c>
      <c r="M146" s="7">
        <f t="shared" si="13"/>
        <v>37.072500000000005</v>
      </c>
      <c r="N146" s="7">
        <f t="shared" si="14"/>
        <v>704.37750000000005</v>
      </c>
      <c r="O146" s="7">
        <f t="shared" si="15"/>
        <v>438.81000000000006</v>
      </c>
      <c r="P146" s="7">
        <f t="shared" si="16"/>
        <v>265.5675</v>
      </c>
      <c r="Q146" s="8">
        <f t="shared" si="17"/>
        <v>0.37702439387970227</v>
      </c>
    </row>
    <row r="147" spans="1:17" ht="15" customHeight="1" x14ac:dyDescent="0.3">
      <c r="A147" t="s">
        <v>263</v>
      </c>
      <c r="B147" s="6">
        <v>45546</v>
      </c>
      <c r="C147" t="s">
        <v>71</v>
      </c>
      <c r="D147" t="s">
        <v>85</v>
      </c>
      <c r="E147" t="s">
        <v>86</v>
      </c>
      <c r="F147" t="s">
        <v>74</v>
      </c>
      <c r="G147" t="s">
        <v>110</v>
      </c>
      <c r="H147">
        <v>2</v>
      </c>
      <c r="I147" s="7">
        <v>454.16</v>
      </c>
      <c r="J147" s="8">
        <v>0.05</v>
      </c>
      <c r="K147" s="7">
        <v>224.83</v>
      </c>
      <c r="L147" s="7">
        <f t="shared" si="12"/>
        <v>908.32</v>
      </c>
      <c r="M147" s="7">
        <f t="shared" si="13"/>
        <v>45.416000000000004</v>
      </c>
      <c r="N147" s="7">
        <f t="shared" si="14"/>
        <v>862.904</v>
      </c>
      <c r="O147" s="7">
        <f t="shared" si="15"/>
        <v>449.66</v>
      </c>
      <c r="P147" s="7">
        <f t="shared" si="16"/>
        <v>413.24399999999997</v>
      </c>
      <c r="Q147" s="8">
        <f t="shared" si="17"/>
        <v>0.47889915911851144</v>
      </c>
    </row>
    <row r="148" spans="1:17" ht="15" customHeight="1" x14ac:dyDescent="0.3">
      <c r="A148" t="s">
        <v>264</v>
      </c>
      <c r="B148" s="6">
        <v>45328</v>
      </c>
      <c r="C148" t="s">
        <v>93</v>
      </c>
      <c r="D148" t="s">
        <v>117</v>
      </c>
      <c r="E148" t="s">
        <v>118</v>
      </c>
      <c r="F148" t="s">
        <v>90</v>
      </c>
      <c r="G148" t="s">
        <v>87</v>
      </c>
      <c r="H148">
        <v>1</v>
      </c>
      <c r="I148" s="7">
        <v>122.12</v>
      </c>
      <c r="J148" s="8">
        <v>0.15</v>
      </c>
      <c r="K148" s="7">
        <v>49.42</v>
      </c>
      <c r="L148" s="7">
        <f t="shared" si="12"/>
        <v>122.12</v>
      </c>
      <c r="M148" s="7">
        <f t="shared" si="13"/>
        <v>18.318000000000001</v>
      </c>
      <c r="N148" s="7">
        <f t="shared" si="14"/>
        <v>103.80200000000001</v>
      </c>
      <c r="O148" s="7">
        <f t="shared" si="15"/>
        <v>49.42</v>
      </c>
      <c r="P148" s="7">
        <f t="shared" si="16"/>
        <v>54.382000000000005</v>
      </c>
      <c r="Q148" s="8">
        <f t="shared" si="17"/>
        <v>0.52390127357854377</v>
      </c>
    </row>
    <row r="149" spans="1:17" ht="15" customHeight="1" x14ac:dyDescent="0.3">
      <c r="A149" t="s">
        <v>265</v>
      </c>
      <c r="B149" s="6">
        <v>45499</v>
      </c>
      <c r="C149" t="s">
        <v>93</v>
      </c>
      <c r="D149" t="s">
        <v>72</v>
      </c>
      <c r="E149" t="s">
        <v>123</v>
      </c>
      <c r="F149" t="s">
        <v>82</v>
      </c>
      <c r="G149" t="s">
        <v>83</v>
      </c>
      <c r="H149">
        <v>4</v>
      </c>
      <c r="I149" s="7">
        <v>1014.08</v>
      </c>
      <c r="J149" s="8">
        <v>0.1</v>
      </c>
      <c r="K149" s="7">
        <v>434.83</v>
      </c>
      <c r="L149" s="7">
        <f t="shared" si="12"/>
        <v>4056.32</v>
      </c>
      <c r="M149" s="7">
        <f t="shared" si="13"/>
        <v>405.63200000000006</v>
      </c>
      <c r="N149" s="7">
        <f t="shared" si="14"/>
        <v>3650.6880000000001</v>
      </c>
      <c r="O149" s="7">
        <f t="shared" si="15"/>
        <v>1739.32</v>
      </c>
      <c r="P149" s="7">
        <f t="shared" si="16"/>
        <v>1911.3680000000002</v>
      </c>
      <c r="Q149" s="8">
        <f t="shared" si="17"/>
        <v>0.52356377756740646</v>
      </c>
    </row>
    <row r="150" spans="1:17" ht="15" customHeight="1" x14ac:dyDescent="0.3">
      <c r="A150" t="s">
        <v>266</v>
      </c>
      <c r="B150" s="6">
        <v>45645</v>
      </c>
      <c r="C150" t="s">
        <v>79</v>
      </c>
      <c r="D150" t="s">
        <v>72</v>
      </c>
      <c r="E150" t="s">
        <v>123</v>
      </c>
      <c r="F150" t="s">
        <v>90</v>
      </c>
      <c r="G150" t="s">
        <v>91</v>
      </c>
      <c r="H150">
        <v>1</v>
      </c>
      <c r="I150" s="7">
        <v>1148.6500000000001</v>
      </c>
      <c r="J150" s="8">
        <v>0.15</v>
      </c>
      <c r="K150" s="7">
        <v>701.96</v>
      </c>
      <c r="L150" s="7">
        <f t="shared" si="12"/>
        <v>1148.6500000000001</v>
      </c>
      <c r="M150" s="7">
        <f t="shared" si="13"/>
        <v>172.29750000000001</v>
      </c>
      <c r="N150" s="7">
        <f t="shared" si="14"/>
        <v>976.35250000000008</v>
      </c>
      <c r="O150" s="7">
        <f t="shared" si="15"/>
        <v>701.96</v>
      </c>
      <c r="P150" s="7">
        <f t="shared" si="16"/>
        <v>274.39250000000004</v>
      </c>
      <c r="Q150" s="8">
        <f t="shared" si="17"/>
        <v>0.28103835448774905</v>
      </c>
    </row>
    <row r="151" spans="1:17" ht="15" customHeight="1" x14ac:dyDescent="0.3">
      <c r="A151" t="s">
        <v>267</v>
      </c>
      <c r="B151" s="6">
        <v>45332</v>
      </c>
      <c r="C151" t="s">
        <v>93</v>
      </c>
      <c r="D151" t="s">
        <v>117</v>
      </c>
      <c r="E151" t="s">
        <v>140</v>
      </c>
      <c r="F151" t="s">
        <v>82</v>
      </c>
      <c r="G151" t="s">
        <v>114</v>
      </c>
      <c r="H151">
        <v>3</v>
      </c>
      <c r="I151" s="7">
        <v>121.99</v>
      </c>
      <c r="J151" s="8">
        <v>0.1</v>
      </c>
      <c r="K151" s="7">
        <v>55.55</v>
      </c>
      <c r="L151" s="7">
        <f t="shared" si="12"/>
        <v>365.96999999999997</v>
      </c>
      <c r="M151" s="7">
        <f t="shared" si="13"/>
        <v>36.597000000000001</v>
      </c>
      <c r="N151" s="7">
        <f t="shared" si="14"/>
        <v>329.37299999999999</v>
      </c>
      <c r="O151" s="7">
        <f t="shared" si="15"/>
        <v>166.64999999999998</v>
      </c>
      <c r="P151" s="7">
        <f t="shared" si="16"/>
        <v>162.72300000000001</v>
      </c>
      <c r="Q151" s="8">
        <f t="shared" si="17"/>
        <v>0.49403867347961133</v>
      </c>
    </row>
    <row r="152" spans="1:17" ht="15" customHeight="1" x14ac:dyDescent="0.3">
      <c r="A152" t="s">
        <v>268</v>
      </c>
      <c r="B152" s="6">
        <v>45563</v>
      </c>
      <c r="C152" t="s">
        <v>93</v>
      </c>
      <c r="D152" t="s">
        <v>117</v>
      </c>
      <c r="E152" t="s">
        <v>131</v>
      </c>
      <c r="F152" t="s">
        <v>90</v>
      </c>
      <c r="G152" t="s">
        <v>94</v>
      </c>
      <c r="H152">
        <v>3</v>
      </c>
      <c r="I152" s="7">
        <v>132.96</v>
      </c>
      <c r="J152" s="8">
        <v>0.1</v>
      </c>
      <c r="K152" s="7">
        <v>77.36</v>
      </c>
      <c r="L152" s="7">
        <f t="shared" si="12"/>
        <v>398.88</v>
      </c>
      <c r="M152" s="7">
        <f t="shared" si="13"/>
        <v>39.888000000000005</v>
      </c>
      <c r="N152" s="7">
        <f t="shared" si="14"/>
        <v>358.99199999999996</v>
      </c>
      <c r="O152" s="7">
        <f t="shared" si="15"/>
        <v>232.07999999999998</v>
      </c>
      <c r="P152" s="7">
        <f t="shared" si="16"/>
        <v>126.91199999999998</v>
      </c>
      <c r="Q152" s="8">
        <f t="shared" si="17"/>
        <v>0.35352319828854123</v>
      </c>
    </row>
    <row r="153" spans="1:17" ht="15" customHeight="1" x14ac:dyDescent="0.3">
      <c r="A153" t="s">
        <v>269</v>
      </c>
      <c r="B153" s="6">
        <v>45393</v>
      </c>
      <c r="C153" t="s">
        <v>77</v>
      </c>
      <c r="D153" t="s">
        <v>117</v>
      </c>
      <c r="E153" t="s">
        <v>133</v>
      </c>
      <c r="F153" t="s">
        <v>74</v>
      </c>
      <c r="G153" t="s">
        <v>142</v>
      </c>
      <c r="H153">
        <v>2</v>
      </c>
      <c r="I153" s="7">
        <v>100.66</v>
      </c>
      <c r="J153" s="8">
        <v>0</v>
      </c>
      <c r="K153" s="7">
        <v>44.72</v>
      </c>
      <c r="L153" s="7">
        <f t="shared" si="12"/>
        <v>201.32</v>
      </c>
      <c r="M153" s="7">
        <f t="shared" si="13"/>
        <v>0</v>
      </c>
      <c r="N153" s="7">
        <f t="shared" si="14"/>
        <v>201.32</v>
      </c>
      <c r="O153" s="7">
        <f t="shared" si="15"/>
        <v>89.44</v>
      </c>
      <c r="P153" s="7">
        <f t="shared" si="16"/>
        <v>111.88</v>
      </c>
      <c r="Q153" s="8">
        <f t="shared" si="17"/>
        <v>0.55573216769322475</v>
      </c>
    </row>
    <row r="154" spans="1:17" ht="15" customHeight="1" x14ac:dyDescent="0.3">
      <c r="A154" t="s">
        <v>270</v>
      </c>
      <c r="B154" s="6">
        <v>45640</v>
      </c>
      <c r="C154" t="s">
        <v>93</v>
      </c>
      <c r="D154" t="s">
        <v>108</v>
      </c>
      <c r="E154" t="s">
        <v>162</v>
      </c>
      <c r="F154" t="s">
        <v>90</v>
      </c>
      <c r="G154" t="s">
        <v>91</v>
      </c>
      <c r="H154">
        <v>19</v>
      </c>
      <c r="I154" s="7">
        <v>35.979999999999997</v>
      </c>
      <c r="J154" s="8">
        <v>0.2</v>
      </c>
      <c r="K154" s="7">
        <v>17.3</v>
      </c>
      <c r="L154" s="7">
        <f t="shared" si="12"/>
        <v>683.61999999999989</v>
      </c>
      <c r="M154" s="7">
        <f t="shared" si="13"/>
        <v>136.72399999999999</v>
      </c>
      <c r="N154" s="7">
        <f t="shared" si="14"/>
        <v>546.89599999999996</v>
      </c>
      <c r="O154" s="7">
        <f t="shared" si="15"/>
        <v>328.7</v>
      </c>
      <c r="P154" s="7">
        <f t="shared" si="16"/>
        <v>218.19599999999997</v>
      </c>
      <c r="Q154" s="8">
        <f t="shared" si="17"/>
        <v>0.39897165091717618</v>
      </c>
    </row>
    <row r="155" spans="1:17" ht="15" customHeight="1" x14ac:dyDescent="0.3">
      <c r="A155" t="s">
        <v>271</v>
      </c>
      <c r="B155" s="6">
        <v>45518</v>
      </c>
      <c r="C155" t="s">
        <v>102</v>
      </c>
      <c r="D155" t="s">
        <v>85</v>
      </c>
      <c r="E155" t="s">
        <v>103</v>
      </c>
      <c r="F155" t="s">
        <v>74</v>
      </c>
      <c r="G155" t="s">
        <v>91</v>
      </c>
      <c r="H155">
        <v>3</v>
      </c>
      <c r="I155" s="7">
        <v>421.79</v>
      </c>
      <c r="J155" s="8">
        <v>0.2</v>
      </c>
      <c r="K155" s="7">
        <v>174.64</v>
      </c>
      <c r="L155" s="7">
        <f t="shared" si="12"/>
        <v>1265.3700000000001</v>
      </c>
      <c r="M155" s="7">
        <f t="shared" si="13"/>
        <v>253.07400000000004</v>
      </c>
      <c r="N155" s="7">
        <f t="shared" si="14"/>
        <v>1012.296</v>
      </c>
      <c r="O155" s="7">
        <f t="shared" si="15"/>
        <v>523.91999999999996</v>
      </c>
      <c r="P155" s="7">
        <f t="shared" si="16"/>
        <v>488.37600000000009</v>
      </c>
      <c r="Q155" s="8">
        <f t="shared" si="17"/>
        <v>0.48244387017236073</v>
      </c>
    </row>
    <row r="156" spans="1:17" ht="15" customHeight="1" x14ac:dyDescent="0.3">
      <c r="A156" t="s">
        <v>272</v>
      </c>
      <c r="B156" s="6">
        <v>45311</v>
      </c>
      <c r="C156" t="s">
        <v>71</v>
      </c>
      <c r="D156" t="s">
        <v>80</v>
      </c>
      <c r="E156" t="s">
        <v>113</v>
      </c>
      <c r="F156" t="s">
        <v>82</v>
      </c>
      <c r="G156" t="s">
        <v>91</v>
      </c>
      <c r="H156">
        <v>3</v>
      </c>
      <c r="I156" s="7">
        <v>149.1</v>
      </c>
      <c r="J156" s="8">
        <v>0</v>
      </c>
      <c r="K156" s="7">
        <v>83.67</v>
      </c>
      <c r="L156" s="7">
        <f t="shared" si="12"/>
        <v>447.29999999999995</v>
      </c>
      <c r="M156" s="7">
        <f t="shared" si="13"/>
        <v>0</v>
      </c>
      <c r="N156" s="7">
        <f t="shared" si="14"/>
        <v>447.29999999999995</v>
      </c>
      <c r="O156" s="7">
        <f t="shared" si="15"/>
        <v>251.01</v>
      </c>
      <c r="P156" s="7">
        <f t="shared" si="16"/>
        <v>196.28999999999996</v>
      </c>
      <c r="Q156" s="8">
        <f t="shared" si="17"/>
        <v>0.43883299798792752</v>
      </c>
    </row>
    <row r="157" spans="1:17" ht="15" customHeight="1" x14ac:dyDescent="0.3">
      <c r="A157" t="s">
        <v>273</v>
      </c>
      <c r="B157" s="6">
        <v>45528</v>
      </c>
      <c r="C157" t="s">
        <v>93</v>
      </c>
      <c r="D157" t="s">
        <v>72</v>
      </c>
      <c r="E157" t="s">
        <v>98</v>
      </c>
      <c r="F157" t="s">
        <v>90</v>
      </c>
      <c r="G157" t="s">
        <v>135</v>
      </c>
      <c r="H157">
        <v>1</v>
      </c>
      <c r="I157" s="7">
        <v>931.41</v>
      </c>
      <c r="J157" s="8">
        <v>0.15</v>
      </c>
      <c r="K157" s="7">
        <v>584.24</v>
      </c>
      <c r="L157" s="7">
        <f t="shared" si="12"/>
        <v>931.41</v>
      </c>
      <c r="M157" s="7">
        <f t="shared" si="13"/>
        <v>139.7115</v>
      </c>
      <c r="N157" s="7">
        <f t="shared" si="14"/>
        <v>791.69849999999997</v>
      </c>
      <c r="O157" s="7">
        <f t="shared" si="15"/>
        <v>584.24</v>
      </c>
      <c r="P157" s="7">
        <f t="shared" si="16"/>
        <v>207.45849999999996</v>
      </c>
      <c r="Q157" s="8">
        <f t="shared" si="17"/>
        <v>0.26204230524625216</v>
      </c>
    </row>
    <row r="158" spans="1:17" ht="15" customHeight="1" x14ac:dyDescent="0.3">
      <c r="A158" t="s">
        <v>274</v>
      </c>
      <c r="B158" s="6">
        <v>45548</v>
      </c>
      <c r="C158" t="s">
        <v>71</v>
      </c>
      <c r="D158" t="s">
        <v>80</v>
      </c>
      <c r="E158" t="s">
        <v>159</v>
      </c>
      <c r="F158" t="s">
        <v>90</v>
      </c>
      <c r="G158" t="s">
        <v>91</v>
      </c>
      <c r="H158">
        <v>1</v>
      </c>
      <c r="I158" s="7">
        <v>164.14</v>
      </c>
      <c r="J158" s="8">
        <v>0.15</v>
      </c>
      <c r="K158" s="7">
        <v>69.900000000000006</v>
      </c>
      <c r="L158" s="7">
        <f t="shared" si="12"/>
        <v>164.14</v>
      </c>
      <c r="M158" s="7">
        <f t="shared" si="13"/>
        <v>24.620999999999999</v>
      </c>
      <c r="N158" s="7">
        <f t="shared" si="14"/>
        <v>139.51899999999998</v>
      </c>
      <c r="O158" s="7">
        <f t="shared" si="15"/>
        <v>69.900000000000006</v>
      </c>
      <c r="P158" s="7">
        <f t="shared" si="16"/>
        <v>69.618999999999971</v>
      </c>
      <c r="Q158" s="8">
        <f t="shared" si="17"/>
        <v>0.49899296869960352</v>
      </c>
    </row>
    <row r="159" spans="1:17" ht="15" customHeight="1" x14ac:dyDescent="0.3">
      <c r="A159" t="s">
        <v>275</v>
      </c>
      <c r="B159" s="6">
        <v>45312</v>
      </c>
      <c r="C159" t="s">
        <v>93</v>
      </c>
      <c r="D159" t="s">
        <v>85</v>
      </c>
      <c r="E159" t="s">
        <v>100</v>
      </c>
      <c r="F159" t="s">
        <v>90</v>
      </c>
      <c r="G159" t="s">
        <v>106</v>
      </c>
      <c r="H159">
        <v>4</v>
      </c>
      <c r="I159" s="7">
        <v>314.37</v>
      </c>
      <c r="J159" s="8">
        <v>0.15</v>
      </c>
      <c r="K159" s="7">
        <v>166.94</v>
      </c>
      <c r="L159" s="7">
        <f t="shared" si="12"/>
        <v>1257.48</v>
      </c>
      <c r="M159" s="7">
        <f t="shared" si="13"/>
        <v>188.62199999999999</v>
      </c>
      <c r="N159" s="7">
        <f t="shared" si="14"/>
        <v>1068.8579999999999</v>
      </c>
      <c r="O159" s="7">
        <f t="shared" si="15"/>
        <v>667.76</v>
      </c>
      <c r="P159" s="7">
        <f t="shared" si="16"/>
        <v>401.09799999999996</v>
      </c>
      <c r="Q159" s="8">
        <f t="shared" si="17"/>
        <v>0.37525845341476599</v>
      </c>
    </row>
    <row r="160" spans="1:17" ht="15" customHeight="1" x14ac:dyDescent="0.3">
      <c r="A160" t="s">
        <v>276</v>
      </c>
      <c r="B160" s="6">
        <v>45490</v>
      </c>
      <c r="C160" t="s">
        <v>71</v>
      </c>
      <c r="D160" t="s">
        <v>80</v>
      </c>
      <c r="E160" t="s">
        <v>159</v>
      </c>
      <c r="F160" t="s">
        <v>82</v>
      </c>
      <c r="G160" t="s">
        <v>142</v>
      </c>
      <c r="H160">
        <v>3</v>
      </c>
      <c r="I160" s="7">
        <v>205.4</v>
      </c>
      <c r="J160" s="8">
        <v>0.2</v>
      </c>
      <c r="K160" s="7">
        <v>84.85</v>
      </c>
      <c r="L160" s="7">
        <f t="shared" si="12"/>
        <v>616.20000000000005</v>
      </c>
      <c r="M160" s="7">
        <f t="shared" si="13"/>
        <v>123.24000000000001</v>
      </c>
      <c r="N160" s="7">
        <f t="shared" si="14"/>
        <v>492.96000000000004</v>
      </c>
      <c r="O160" s="7">
        <f t="shared" si="15"/>
        <v>254.54999999999998</v>
      </c>
      <c r="P160" s="7">
        <f t="shared" si="16"/>
        <v>238.41000000000005</v>
      </c>
      <c r="Q160" s="8">
        <f t="shared" si="17"/>
        <v>0.4836295034079845</v>
      </c>
    </row>
    <row r="161" spans="1:17" ht="15" customHeight="1" x14ac:dyDescent="0.3">
      <c r="A161" t="s">
        <v>277</v>
      </c>
      <c r="B161" s="6">
        <v>45639</v>
      </c>
      <c r="C161" t="s">
        <v>71</v>
      </c>
      <c r="D161" t="s">
        <v>85</v>
      </c>
      <c r="E161" t="s">
        <v>100</v>
      </c>
      <c r="F161" t="s">
        <v>74</v>
      </c>
      <c r="G161" t="s">
        <v>114</v>
      </c>
      <c r="H161">
        <v>3</v>
      </c>
      <c r="I161" s="7">
        <v>353.24</v>
      </c>
      <c r="J161" s="8">
        <v>0.2</v>
      </c>
      <c r="K161" s="7">
        <v>218.42</v>
      </c>
      <c r="L161" s="7">
        <f t="shared" si="12"/>
        <v>1059.72</v>
      </c>
      <c r="M161" s="7">
        <f t="shared" si="13"/>
        <v>211.94400000000002</v>
      </c>
      <c r="N161" s="7">
        <f t="shared" si="14"/>
        <v>847.77600000000007</v>
      </c>
      <c r="O161" s="7">
        <f t="shared" si="15"/>
        <v>655.26</v>
      </c>
      <c r="P161" s="7">
        <f t="shared" si="16"/>
        <v>192.51600000000008</v>
      </c>
      <c r="Q161" s="8">
        <f t="shared" si="17"/>
        <v>0.22708356924470621</v>
      </c>
    </row>
    <row r="162" spans="1:17" ht="15" customHeight="1" x14ac:dyDescent="0.3">
      <c r="A162" t="s">
        <v>278</v>
      </c>
      <c r="B162" s="6">
        <v>45471</v>
      </c>
      <c r="C162" t="s">
        <v>93</v>
      </c>
      <c r="D162" t="s">
        <v>85</v>
      </c>
      <c r="E162" t="s">
        <v>100</v>
      </c>
      <c r="F162" t="s">
        <v>90</v>
      </c>
      <c r="G162" t="s">
        <v>106</v>
      </c>
      <c r="H162">
        <v>4</v>
      </c>
      <c r="I162" s="7">
        <v>331.86</v>
      </c>
      <c r="J162" s="8">
        <v>0.05</v>
      </c>
      <c r="K162" s="7">
        <v>182.11</v>
      </c>
      <c r="L162" s="7">
        <f t="shared" si="12"/>
        <v>1327.44</v>
      </c>
      <c r="M162" s="7">
        <f t="shared" si="13"/>
        <v>66.372</v>
      </c>
      <c r="N162" s="7">
        <f t="shared" si="14"/>
        <v>1261.068</v>
      </c>
      <c r="O162" s="7">
        <f t="shared" si="15"/>
        <v>728.44</v>
      </c>
      <c r="P162" s="7">
        <f t="shared" si="16"/>
        <v>532.62799999999993</v>
      </c>
      <c r="Q162" s="8">
        <f t="shared" si="17"/>
        <v>0.4223626323084877</v>
      </c>
    </row>
    <row r="163" spans="1:17" ht="15" customHeight="1" x14ac:dyDescent="0.3">
      <c r="A163" t="s">
        <v>279</v>
      </c>
      <c r="B163" s="6">
        <v>45357</v>
      </c>
      <c r="C163" t="s">
        <v>93</v>
      </c>
      <c r="D163" t="s">
        <v>72</v>
      </c>
      <c r="E163" t="s">
        <v>123</v>
      </c>
      <c r="F163" t="s">
        <v>82</v>
      </c>
      <c r="G163" t="s">
        <v>87</v>
      </c>
      <c r="H163">
        <v>5</v>
      </c>
      <c r="I163" s="7">
        <v>988.87</v>
      </c>
      <c r="J163" s="8">
        <v>0</v>
      </c>
      <c r="K163" s="7">
        <v>555.26</v>
      </c>
      <c r="L163" s="7">
        <f t="shared" si="12"/>
        <v>4944.3500000000004</v>
      </c>
      <c r="M163" s="7">
        <f t="shared" si="13"/>
        <v>0</v>
      </c>
      <c r="N163" s="7">
        <f t="shared" si="14"/>
        <v>4944.3500000000004</v>
      </c>
      <c r="O163" s="7">
        <f t="shared" si="15"/>
        <v>2776.3</v>
      </c>
      <c r="P163" s="7">
        <f t="shared" si="16"/>
        <v>2168.0500000000002</v>
      </c>
      <c r="Q163" s="8">
        <f t="shared" si="17"/>
        <v>0.43849039813120028</v>
      </c>
    </row>
    <row r="164" spans="1:17" ht="15" customHeight="1" x14ac:dyDescent="0.3">
      <c r="A164" t="s">
        <v>280</v>
      </c>
      <c r="B164" s="6">
        <v>45450</v>
      </c>
      <c r="C164" t="s">
        <v>71</v>
      </c>
      <c r="D164" t="s">
        <v>108</v>
      </c>
      <c r="E164" t="s">
        <v>109</v>
      </c>
      <c r="F164" t="s">
        <v>74</v>
      </c>
      <c r="G164" t="s">
        <v>87</v>
      </c>
      <c r="H164">
        <v>7</v>
      </c>
      <c r="I164" s="7">
        <v>21.11</v>
      </c>
      <c r="J164" s="8">
        <v>0.1</v>
      </c>
      <c r="K164" s="7">
        <v>13.45</v>
      </c>
      <c r="L164" s="7">
        <f t="shared" si="12"/>
        <v>147.76999999999998</v>
      </c>
      <c r="M164" s="7">
        <f t="shared" si="13"/>
        <v>14.776999999999999</v>
      </c>
      <c r="N164" s="7">
        <f t="shared" si="14"/>
        <v>132.99299999999999</v>
      </c>
      <c r="O164" s="7">
        <f t="shared" si="15"/>
        <v>94.149999999999991</v>
      </c>
      <c r="P164" s="7">
        <f t="shared" si="16"/>
        <v>38.843000000000004</v>
      </c>
      <c r="Q164" s="8">
        <f t="shared" si="17"/>
        <v>0.29206800357913576</v>
      </c>
    </row>
    <row r="165" spans="1:17" ht="15" customHeight="1" x14ac:dyDescent="0.3">
      <c r="A165" t="s">
        <v>281</v>
      </c>
      <c r="B165" s="6">
        <v>45331</v>
      </c>
      <c r="C165" t="s">
        <v>79</v>
      </c>
      <c r="D165" t="s">
        <v>108</v>
      </c>
      <c r="E165" t="s">
        <v>177</v>
      </c>
      <c r="F165" t="s">
        <v>74</v>
      </c>
      <c r="G165" t="s">
        <v>106</v>
      </c>
      <c r="H165">
        <v>4</v>
      </c>
      <c r="I165" s="7">
        <v>23.42</v>
      </c>
      <c r="J165" s="8">
        <v>0.2</v>
      </c>
      <c r="K165" s="7">
        <v>13.88</v>
      </c>
      <c r="L165" s="7">
        <f t="shared" si="12"/>
        <v>93.68</v>
      </c>
      <c r="M165" s="7">
        <f t="shared" si="13"/>
        <v>18.736000000000001</v>
      </c>
      <c r="N165" s="7">
        <f t="shared" si="14"/>
        <v>74.944000000000003</v>
      </c>
      <c r="O165" s="7">
        <f t="shared" si="15"/>
        <v>55.52</v>
      </c>
      <c r="P165" s="7">
        <f t="shared" si="16"/>
        <v>19.423999999999999</v>
      </c>
      <c r="Q165" s="8">
        <f t="shared" si="17"/>
        <v>0.2591801878736123</v>
      </c>
    </row>
    <row r="166" spans="1:17" ht="15" customHeight="1" x14ac:dyDescent="0.3">
      <c r="A166" t="s">
        <v>282</v>
      </c>
      <c r="B166" s="6">
        <v>45597</v>
      </c>
      <c r="C166" t="s">
        <v>71</v>
      </c>
      <c r="D166" t="s">
        <v>80</v>
      </c>
      <c r="E166" t="s">
        <v>113</v>
      </c>
      <c r="F166" t="s">
        <v>90</v>
      </c>
      <c r="G166" t="s">
        <v>106</v>
      </c>
      <c r="H166">
        <v>2</v>
      </c>
      <c r="I166" s="7">
        <v>200.28</v>
      </c>
      <c r="J166" s="8">
        <v>0.05</v>
      </c>
      <c r="K166" s="7">
        <v>121.74</v>
      </c>
      <c r="L166" s="7">
        <f t="shared" si="12"/>
        <v>400.56</v>
      </c>
      <c r="M166" s="7">
        <f t="shared" si="13"/>
        <v>20.028000000000002</v>
      </c>
      <c r="N166" s="7">
        <f t="shared" si="14"/>
        <v>380.53199999999998</v>
      </c>
      <c r="O166" s="7">
        <f t="shared" si="15"/>
        <v>243.48</v>
      </c>
      <c r="P166" s="7">
        <f t="shared" si="16"/>
        <v>137.05199999999999</v>
      </c>
      <c r="Q166" s="8">
        <f t="shared" si="17"/>
        <v>0.36015893538519755</v>
      </c>
    </row>
    <row r="167" spans="1:17" ht="15" customHeight="1" x14ac:dyDescent="0.3">
      <c r="A167" t="s">
        <v>283</v>
      </c>
      <c r="B167" s="6">
        <v>45478</v>
      </c>
      <c r="C167" t="s">
        <v>102</v>
      </c>
      <c r="D167" t="s">
        <v>80</v>
      </c>
      <c r="E167" t="s">
        <v>159</v>
      </c>
      <c r="F167" t="s">
        <v>74</v>
      </c>
      <c r="G167" t="s">
        <v>135</v>
      </c>
      <c r="H167">
        <v>2</v>
      </c>
      <c r="I167" s="7">
        <v>248.22</v>
      </c>
      <c r="J167" s="8">
        <v>0.15</v>
      </c>
      <c r="K167" s="7">
        <v>137.18</v>
      </c>
      <c r="L167" s="7">
        <f t="shared" si="12"/>
        <v>496.44</v>
      </c>
      <c r="M167" s="7">
        <f t="shared" si="13"/>
        <v>74.465999999999994</v>
      </c>
      <c r="N167" s="7">
        <f t="shared" si="14"/>
        <v>421.97399999999999</v>
      </c>
      <c r="O167" s="7">
        <f t="shared" si="15"/>
        <v>274.36</v>
      </c>
      <c r="P167" s="7">
        <f t="shared" si="16"/>
        <v>147.61399999999998</v>
      </c>
      <c r="Q167" s="8">
        <f t="shared" si="17"/>
        <v>0.34981776128387054</v>
      </c>
    </row>
    <row r="168" spans="1:17" ht="15" customHeight="1" x14ac:dyDescent="0.3">
      <c r="A168" t="s">
        <v>284</v>
      </c>
      <c r="B168" s="6">
        <v>45532</v>
      </c>
      <c r="C168" t="s">
        <v>93</v>
      </c>
      <c r="D168" t="s">
        <v>108</v>
      </c>
      <c r="E168" t="s">
        <v>177</v>
      </c>
      <c r="F168" t="s">
        <v>74</v>
      </c>
      <c r="G168" t="s">
        <v>142</v>
      </c>
      <c r="H168">
        <v>7</v>
      </c>
      <c r="I168" s="7">
        <v>35.58</v>
      </c>
      <c r="J168" s="8">
        <v>0.1</v>
      </c>
      <c r="K168" s="7">
        <v>20.27</v>
      </c>
      <c r="L168" s="7">
        <f t="shared" si="12"/>
        <v>249.06</v>
      </c>
      <c r="M168" s="7">
        <f t="shared" si="13"/>
        <v>24.906000000000002</v>
      </c>
      <c r="N168" s="7">
        <f t="shared" si="14"/>
        <v>224.154</v>
      </c>
      <c r="O168" s="7">
        <f t="shared" si="15"/>
        <v>141.88999999999999</v>
      </c>
      <c r="P168" s="7">
        <f t="shared" si="16"/>
        <v>82.26400000000001</v>
      </c>
      <c r="Q168" s="8">
        <f t="shared" si="17"/>
        <v>0.36699768908875152</v>
      </c>
    </row>
    <row r="169" spans="1:17" ht="15" customHeight="1" x14ac:dyDescent="0.3">
      <c r="A169" t="s">
        <v>285</v>
      </c>
      <c r="B169" s="6">
        <v>45549</v>
      </c>
      <c r="C169" t="s">
        <v>102</v>
      </c>
      <c r="D169" t="s">
        <v>80</v>
      </c>
      <c r="E169" t="s">
        <v>81</v>
      </c>
      <c r="F169" t="s">
        <v>82</v>
      </c>
      <c r="G169" t="s">
        <v>135</v>
      </c>
      <c r="H169">
        <v>2</v>
      </c>
      <c r="I169" s="7">
        <v>224.39</v>
      </c>
      <c r="J169" s="8">
        <v>0.05</v>
      </c>
      <c r="K169" s="7">
        <v>134.69999999999999</v>
      </c>
      <c r="L169" s="7">
        <f t="shared" si="12"/>
        <v>448.78</v>
      </c>
      <c r="M169" s="7">
        <f t="shared" si="13"/>
        <v>22.439</v>
      </c>
      <c r="N169" s="7">
        <f t="shared" si="14"/>
        <v>426.34099999999995</v>
      </c>
      <c r="O169" s="7">
        <f t="shared" si="15"/>
        <v>269.39999999999998</v>
      </c>
      <c r="P169" s="7">
        <f t="shared" si="16"/>
        <v>156.94099999999997</v>
      </c>
      <c r="Q169" s="8">
        <f t="shared" si="17"/>
        <v>0.36811144131106321</v>
      </c>
    </row>
    <row r="170" spans="1:17" ht="15" customHeight="1" x14ac:dyDescent="0.3">
      <c r="A170" t="s">
        <v>286</v>
      </c>
      <c r="B170" s="6">
        <v>45482</v>
      </c>
      <c r="C170" t="s">
        <v>77</v>
      </c>
      <c r="D170" t="s">
        <v>117</v>
      </c>
      <c r="E170" t="s">
        <v>121</v>
      </c>
      <c r="F170" t="s">
        <v>90</v>
      </c>
      <c r="G170" t="s">
        <v>91</v>
      </c>
      <c r="H170">
        <v>1</v>
      </c>
      <c r="I170" s="7">
        <v>137.24</v>
      </c>
      <c r="J170" s="8">
        <v>0.2</v>
      </c>
      <c r="K170" s="7">
        <v>84.1</v>
      </c>
      <c r="L170" s="7">
        <f t="shared" si="12"/>
        <v>137.24</v>
      </c>
      <c r="M170" s="7">
        <f t="shared" si="13"/>
        <v>27.448000000000004</v>
      </c>
      <c r="N170" s="7">
        <f t="shared" si="14"/>
        <v>109.792</v>
      </c>
      <c r="O170" s="7">
        <f t="shared" si="15"/>
        <v>84.1</v>
      </c>
      <c r="P170" s="7">
        <f t="shared" si="16"/>
        <v>25.692000000000007</v>
      </c>
      <c r="Q170" s="8">
        <f t="shared" si="17"/>
        <v>0.23400612066452936</v>
      </c>
    </row>
    <row r="171" spans="1:17" ht="15" customHeight="1" x14ac:dyDescent="0.3">
      <c r="A171" t="s">
        <v>287</v>
      </c>
      <c r="B171" s="6">
        <v>45554</v>
      </c>
      <c r="C171" t="s">
        <v>79</v>
      </c>
      <c r="D171" t="s">
        <v>85</v>
      </c>
      <c r="E171" t="s">
        <v>100</v>
      </c>
      <c r="F171" t="s">
        <v>82</v>
      </c>
      <c r="G171" t="s">
        <v>91</v>
      </c>
      <c r="H171">
        <v>4</v>
      </c>
      <c r="I171" s="7">
        <v>286.26</v>
      </c>
      <c r="J171" s="8">
        <v>0</v>
      </c>
      <c r="K171" s="7">
        <v>182.23</v>
      </c>
      <c r="L171" s="7">
        <f t="shared" si="12"/>
        <v>1145.04</v>
      </c>
      <c r="M171" s="7">
        <f t="shared" si="13"/>
        <v>0</v>
      </c>
      <c r="N171" s="7">
        <f t="shared" si="14"/>
        <v>1145.04</v>
      </c>
      <c r="O171" s="7">
        <f t="shared" si="15"/>
        <v>728.92</v>
      </c>
      <c r="P171" s="7">
        <f t="shared" si="16"/>
        <v>416.12</v>
      </c>
      <c r="Q171" s="8">
        <f t="shared" si="17"/>
        <v>0.36341088520925036</v>
      </c>
    </row>
    <row r="172" spans="1:17" ht="15" customHeight="1" x14ac:dyDescent="0.3">
      <c r="A172" t="s">
        <v>288</v>
      </c>
      <c r="B172" s="6">
        <v>45319</v>
      </c>
      <c r="C172" t="s">
        <v>71</v>
      </c>
      <c r="D172" t="s">
        <v>117</v>
      </c>
      <c r="E172" t="s">
        <v>140</v>
      </c>
      <c r="F172" t="s">
        <v>74</v>
      </c>
      <c r="G172" t="s">
        <v>135</v>
      </c>
      <c r="H172">
        <v>3</v>
      </c>
      <c r="I172" s="7">
        <v>122.06</v>
      </c>
      <c r="J172" s="8">
        <v>0.05</v>
      </c>
      <c r="K172" s="7">
        <v>60.61</v>
      </c>
      <c r="L172" s="7">
        <f t="shared" si="12"/>
        <v>366.18</v>
      </c>
      <c r="M172" s="7">
        <f t="shared" si="13"/>
        <v>18.309000000000001</v>
      </c>
      <c r="N172" s="7">
        <f t="shared" si="14"/>
        <v>347.87099999999998</v>
      </c>
      <c r="O172" s="7">
        <f t="shared" si="15"/>
        <v>181.82999999999998</v>
      </c>
      <c r="P172" s="7">
        <f t="shared" si="16"/>
        <v>166.041</v>
      </c>
      <c r="Q172" s="8">
        <f t="shared" si="17"/>
        <v>0.47730624283139439</v>
      </c>
    </row>
    <row r="173" spans="1:17" ht="15" customHeight="1" x14ac:dyDescent="0.3">
      <c r="A173" t="s">
        <v>289</v>
      </c>
      <c r="B173" s="6">
        <v>45342</v>
      </c>
      <c r="C173" t="s">
        <v>79</v>
      </c>
      <c r="D173" t="s">
        <v>72</v>
      </c>
      <c r="E173" t="s">
        <v>123</v>
      </c>
      <c r="F173" t="s">
        <v>74</v>
      </c>
      <c r="G173" t="s">
        <v>87</v>
      </c>
      <c r="H173">
        <v>3</v>
      </c>
      <c r="I173" s="7">
        <v>1097.07</v>
      </c>
      <c r="J173" s="8">
        <v>0.05</v>
      </c>
      <c r="K173" s="7">
        <v>476.57</v>
      </c>
      <c r="L173" s="7">
        <f t="shared" si="12"/>
        <v>3291.21</v>
      </c>
      <c r="M173" s="7">
        <f t="shared" si="13"/>
        <v>164.56050000000002</v>
      </c>
      <c r="N173" s="7">
        <f t="shared" si="14"/>
        <v>3126.6495</v>
      </c>
      <c r="O173" s="7">
        <f t="shared" si="15"/>
        <v>1429.71</v>
      </c>
      <c r="P173" s="7">
        <f t="shared" si="16"/>
        <v>1696.9395</v>
      </c>
      <c r="Q173" s="8">
        <f t="shared" si="17"/>
        <v>0.5427341631992969</v>
      </c>
    </row>
    <row r="174" spans="1:17" ht="15" customHeight="1" x14ac:dyDescent="0.3">
      <c r="A174" t="s">
        <v>290</v>
      </c>
      <c r="B174" s="6">
        <v>45521</v>
      </c>
      <c r="C174" t="s">
        <v>79</v>
      </c>
      <c r="D174" t="s">
        <v>85</v>
      </c>
      <c r="E174" t="s">
        <v>187</v>
      </c>
      <c r="F174" t="s">
        <v>90</v>
      </c>
      <c r="G174" t="s">
        <v>91</v>
      </c>
      <c r="H174">
        <v>1</v>
      </c>
      <c r="I174" s="7">
        <v>417.3</v>
      </c>
      <c r="J174" s="8">
        <v>0</v>
      </c>
      <c r="K174" s="7">
        <v>193.62</v>
      </c>
      <c r="L174" s="7">
        <f t="shared" si="12"/>
        <v>417.3</v>
      </c>
      <c r="M174" s="7">
        <f t="shared" si="13"/>
        <v>0</v>
      </c>
      <c r="N174" s="7">
        <f t="shared" si="14"/>
        <v>417.3</v>
      </c>
      <c r="O174" s="7">
        <f t="shared" si="15"/>
        <v>193.62</v>
      </c>
      <c r="P174" s="7">
        <f t="shared" si="16"/>
        <v>223.68</v>
      </c>
      <c r="Q174" s="8">
        <f t="shared" si="17"/>
        <v>0.53601725377426312</v>
      </c>
    </row>
    <row r="175" spans="1:17" ht="15" customHeight="1" x14ac:dyDescent="0.3">
      <c r="A175" t="s">
        <v>291</v>
      </c>
      <c r="B175" s="6">
        <v>45348</v>
      </c>
      <c r="C175" t="s">
        <v>93</v>
      </c>
      <c r="D175" t="s">
        <v>117</v>
      </c>
      <c r="E175" t="s">
        <v>118</v>
      </c>
      <c r="F175" t="s">
        <v>90</v>
      </c>
      <c r="G175" t="s">
        <v>135</v>
      </c>
      <c r="H175">
        <v>2</v>
      </c>
      <c r="I175" s="7">
        <v>158.51</v>
      </c>
      <c r="J175" s="8">
        <v>0.1</v>
      </c>
      <c r="K175" s="7">
        <v>68.23</v>
      </c>
      <c r="L175" s="7">
        <f t="shared" si="12"/>
        <v>317.02</v>
      </c>
      <c r="M175" s="7">
        <f t="shared" si="13"/>
        <v>31.701999999999998</v>
      </c>
      <c r="N175" s="7">
        <f t="shared" si="14"/>
        <v>285.31799999999998</v>
      </c>
      <c r="O175" s="7">
        <f t="shared" si="15"/>
        <v>136.46</v>
      </c>
      <c r="P175" s="7">
        <f t="shared" si="16"/>
        <v>148.85799999999998</v>
      </c>
      <c r="Q175" s="8">
        <f t="shared" si="17"/>
        <v>0.52172663484252657</v>
      </c>
    </row>
    <row r="176" spans="1:17" ht="15" customHeight="1" x14ac:dyDescent="0.3">
      <c r="A176" t="s">
        <v>292</v>
      </c>
      <c r="B176" s="6">
        <v>45348</v>
      </c>
      <c r="C176" t="s">
        <v>93</v>
      </c>
      <c r="D176" t="s">
        <v>117</v>
      </c>
      <c r="E176" t="s">
        <v>140</v>
      </c>
      <c r="F176" t="s">
        <v>82</v>
      </c>
      <c r="G176" t="s">
        <v>94</v>
      </c>
      <c r="H176">
        <v>4</v>
      </c>
      <c r="I176" s="7">
        <v>164.32</v>
      </c>
      <c r="J176" s="8">
        <v>0.2</v>
      </c>
      <c r="K176" s="7">
        <v>87.75</v>
      </c>
      <c r="L176" s="7">
        <f t="shared" si="12"/>
        <v>657.28</v>
      </c>
      <c r="M176" s="7">
        <f t="shared" si="13"/>
        <v>131.45599999999999</v>
      </c>
      <c r="N176" s="7">
        <f t="shared" si="14"/>
        <v>525.82399999999996</v>
      </c>
      <c r="O176" s="7">
        <f t="shared" si="15"/>
        <v>351</v>
      </c>
      <c r="P176" s="7">
        <f t="shared" si="16"/>
        <v>174.82399999999996</v>
      </c>
      <c r="Q176" s="8">
        <f t="shared" si="17"/>
        <v>0.33247626582278478</v>
      </c>
    </row>
    <row r="177" spans="1:17" ht="15" customHeight="1" x14ac:dyDescent="0.3">
      <c r="A177" t="s">
        <v>293</v>
      </c>
      <c r="B177" s="6">
        <v>45441</v>
      </c>
      <c r="C177" t="s">
        <v>79</v>
      </c>
      <c r="D177" t="s">
        <v>80</v>
      </c>
      <c r="E177" t="s">
        <v>138</v>
      </c>
      <c r="F177" t="s">
        <v>90</v>
      </c>
      <c r="G177" t="s">
        <v>106</v>
      </c>
      <c r="H177">
        <v>5</v>
      </c>
      <c r="I177" s="7">
        <v>208.68</v>
      </c>
      <c r="J177" s="8">
        <v>0.1</v>
      </c>
      <c r="K177" s="7">
        <v>96.02</v>
      </c>
      <c r="L177" s="7">
        <f t="shared" si="12"/>
        <v>1043.4000000000001</v>
      </c>
      <c r="M177" s="7">
        <f t="shared" si="13"/>
        <v>104.34000000000002</v>
      </c>
      <c r="N177" s="7">
        <f t="shared" si="14"/>
        <v>939.06000000000006</v>
      </c>
      <c r="O177" s="7">
        <f t="shared" si="15"/>
        <v>480.09999999999997</v>
      </c>
      <c r="P177" s="7">
        <f t="shared" si="16"/>
        <v>458.96000000000009</v>
      </c>
      <c r="Q177" s="8">
        <f t="shared" si="17"/>
        <v>0.48874406321214836</v>
      </c>
    </row>
    <row r="178" spans="1:17" ht="15" customHeight="1" x14ac:dyDescent="0.3">
      <c r="A178" t="s">
        <v>294</v>
      </c>
      <c r="B178" s="6">
        <v>45326</v>
      </c>
      <c r="C178" t="s">
        <v>77</v>
      </c>
      <c r="D178" t="s">
        <v>108</v>
      </c>
      <c r="E178" t="s">
        <v>177</v>
      </c>
      <c r="F178" t="s">
        <v>90</v>
      </c>
      <c r="G178" t="s">
        <v>87</v>
      </c>
      <c r="H178">
        <v>18</v>
      </c>
      <c r="I178" s="7">
        <v>36.57</v>
      </c>
      <c r="J178" s="8">
        <v>0.2</v>
      </c>
      <c r="K178" s="7">
        <v>21.82</v>
      </c>
      <c r="L178" s="7">
        <f t="shared" si="12"/>
        <v>658.26</v>
      </c>
      <c r="M178" s="7">
        <f t="shared" si="13"/>
        <v>131.65200000000002</v>
      </c>
      <c r="N178" s="7">
        <f t="shared" si="14"/>
        <v>526.60799999999995</v>
      </c>
      <c r="O178" s="7">
        <f t="shared" si="15"/>
        <v>392.76</v>
      </c>
      <c r="P178" s="7">
        <f t="shared" si="16"/>
        <v>133.84799999999996</v>
      </c>
      <c r="Q178" s="8">
        <f t="shared" si="17"/>
        <v>0.25417008476893621</v>
      </c>
    </row>
    <row r="179" spans="1:17" ht="15" customHeight="1" x14ac:dyDescent="0.3">
      <c r="A179" t="s">
        <v>295</v>
      </c>
      <c r="B179" s="6">
        <v>45314</v>
      </c>
      <c r="C179" t="s">
        <v>77</v>
      </c>
      <c r="D179" t="s">
        <v>80</v>
      </c>
      <c r="E179" t="s">
        <v>138</v>
      </c>
      <c r="F179" t="s">
        <v>82</v>
      </c>
      <c r="G179" t="s">
        <v>91</v>
      </c>
      <c r="H179">
        <v>3</v>
      </c>
      <c r="I179" s="7">
        <v>241.71</v>
      </c>
      <c r="J179" s="8">
        <v>0.1</v>
      </c>
      <c r="K179" s="7">
        <v>141.84</v>
      </c>
      <c r="L179" s="7">
        <f t="shared" si="12"/>
        <v>725.13</v>
      </c>
      <c r="M179" s="7">
        <f t="shared" si="13"/>
        <v>72.513000000000005</v>
      </c>
      <c r="N179" s="7">
        <f t="shared" si="14"/>
        <v>652.61699999999996</v>
      </c>
      <c r="O179" s="7">
        <f t="shared" si="15"/>
        <v>425.52</v>
      </c>
      <c r="P179" s="7">
        <f t="shared" si="16"/>
        <v>227.09699999999998</v>
      </c>
      <c r="Q179" s="8">
        <f t="shared" si="17"/>
        <v>0.34797898307889619</v>
      </c>
    </row>
    <row r="180" spans="1:17" ht="15" customHeight="1" x14ac:dyDescent="0.3">
      <c r="A180" t="s">
        <v>296</v>
      </c>
      <c r="B180" s="6">
        <v>45589</v>
      </c>
      <c r="C180" t="s">
        <v>71</v>
      </c>
      <c r="D180" t="s">
        <v>85</v>
      </c>
      <c r="E180" t="s">
        <v>100</v>
      </c>
      <c r="F180" t="s">
        <v>74</v>
      </c>
      <c r="G180" t="s">
        <v>94</v>
      </c>
      <c r="H180">
        <v>3</v>
      </c>
      <c r="I180" s="7">
        <v>450.85</v>
      </c>
      <c r="J180" s="8">
        <v>0.05</v>
      </c>
      <c r="K180" s="7">
        <v>185.34</v>
      </c>
      <c r="L180" s="7">
        <f t="shared" si="12"/>
        <v>1352.5500000000002</v>
      </c>
      <c r="M180" s="7">
        <f t="shared" si="13"/>
        <v>67.627500000000012</v>
      </c>
      <c r="N180" s="7">
        <f t="shared" si="14"/>
        <v>1284.9225000000001</v>
      </c>
      <c r="O180" s="7">
        <f t="shared" si="15"/>
        <v>556.02</v>
      </c>
      <c r="P180" s="7">
        <f t="shared" si="16"/>
        <v>728.90250000000015</v>
      </c>
      <c r="Q180" s="8">
        <f t="shared" si="17"/>
        <v>0.56727351260484582</v>
      </c>
    </row>
    <row r="181" spans="1:17" ht="15" customHeight="1" x14ac:dyDescent="0.3">
      <c r="A181" t="s">
        <v>297</v>
      </c>
      <c r="B181" s="6">
        <v>45648</v>
      </c>
      <c r="C181" t="s">
        <v>79</v>
      </c>
      <c r="D181" t="s">
        <v>80</v>
      </c>
      <c r="E181" t="s">
        <v>89</v>
      </c>
      <c r="F181" t="s">
        <v>90</v>
      </c>
      <c r="G181" t="s">
        <v>91</v>
      </c>
      <c r="H181">
        <v>2</v>
      </c>
      <c r="I181" s="7">
        <v>216.56</v>
      </c>
      <c r="J181" s="8">
        <v>0.05</v>
      </c>
      <c r="K181" s="7">
        <v>90.04</v>
      </c>
      <c r="L181" s="7">
        <f t="shared" si="12"/>
        <v>433.12</v>
      </c>
      <c r="M181" s="7">
        <f t="shared" si="13"/>
        <v>21.656000000000002</v>
      </c>
      <c r="N181" s="7">
        <f t="shared" si="14"/>
        <v>411.464</v>
      </c>
      <c r="O181" s="7">
        <f t="shared" si="15"/>
        <v>180.08</v>
      </c>
      <c r="P181" s="7">
        <f t="shared" si="16"/>
        <v>231.38399999999999</v>
      </c>
      <c r="Q181" s="8">
        <f t="shared" si="17"/>
        <v>0.56234324266521496</v>
      </c>
    </row>
    <row r="182" spans="1:17" ht="15" customHeight="1" x14ac:dyDescent="0.3">
      <c r="A182" t="s">
        <v>298</v>
      </c>
      <c r="B182" s="6">
        <v>45394</v>
      </c>
      <c r="C182" t="s">
        <v>71</v>
      </c>
      <c r="D182" t="s">
        <v>108</v>
      </c>
      <c r="E182" t="s">
        <v>200</v>
      </c>
      <c r="F182" t="s">
        <v>74</v>
      </c>
      <c r="G182" t="s">
        <v>110</v>
      </c>
      <c r="H182">
        <v>11</v>
      </c>
      <c r="I182" s="7">
        <v>35.22</v>
      </c>
      <c r="J182" s="8">
        <v>0.1</v>
      </c>
      <c r="K182" s="7">
        <v>18.63</v>
      </c>
      <c r="L182" s="7">
        <f t="shared" si="12"/>
        <v>387.41999999999996</v>
      </c>
      <c r="M182" s="7">
        <f t="shared" si="13"/>
        <v>38.741999999999997</v>
      </c>
      <c r="N182" s="7">
        <f t="shared" si="14"/>
        <v>348.67799999999994</v>
      </c>
      <c r="O182" s="7">
        <f t="shared" si="15"/>
        <v>204.92999999999998</v>
      </c>
      <c r="P182" s="7">
        <f t="shared" si="16"/>
        <v>143.74799999999996</v>
      </c>
      <c r="Q182" s="8">
        <f t="shared" si="17"/>
        <v>0.41226575809199317</v>
      </c>
    </row>
    <row r="183" spans="1:17" ht="15" customHeight="1" x14ac:dyDescent="0.3">
      <c r="A183" t="s">
        <v>299</v>
      </c>
      <c r="B183" s="6">
        <v>45438</v>
      </c>
      <c r="C183" t="s">
        <v>71</v>
      </c>
      <c r="D183" t="s">
        <v>80</v>
      </c>
      <c r="E183" t="s">
        <v>81</v>
      </c>
      <c r="F183" t="s">
        <v>74</v>
      </c>
      <c r="G183" t="s">
        <v>75</v>
      </c>
      <c r="H183">
        <v>1</v>
      </c>
      <c r="I183" s="7">
        <v>197.12</v>
      </c>
      <c r="J183" s="8">
        <v>0.1</v>
      </c>
      <c r="K183" s="7">
        <v>92.31</v>
      </c>
      <c r="L183" s="7">
        <f t="shared" si="12"/>
        <v>197.12</v>
      </c>
      <c r="M183" s="7">
        <f t="shared" si="13"/>
        <v>19.712000000000003</v>
      </c>
      <c r="N183" s="7">
        <f t="shared" si="14"/>
        <v>177.40800000000002</v>
      </c>
      <c r="O183" s="7">
        <f t="shared" si="15"/>
        <v>92.31</v>
      </c>
      <c r="P183" s="7">
        <f t="shared" si="16"/>
        <v>85.098000000000013</v>
      </c>
      <c r="Q183" s="8">
        <f t="shared" si="17"/>
        <v>0.47967397186147187</v>
      </c>
    </row>
    <row r="184" spans="1:17" ht="15" customHeight="1" x14ac:dyDescent="0.3">
      <c r="A184" t="s">
        <v>300</v>
      </c>
      <c r="B184" s="6">
        <v>45489</v>
      </c>
      <c r="C184" t="s">
        <v>102</v>
      </c>
      <c r="D184" t="s">
        <v>85</v>
      </c>
      <c r="E184" t="s">
        <v>187</v>
      </c>
      <c r="F184" t="s">
        <v>90</v>
      </c>
      <c r="G184" t="s">
        <v>91</v>
      </c>
      <c r="H184">
        <v>2</v>
      </c>
      <c r="I184" s="7">
        <v>339.93</v>
      </c>
      <c r="J184" s="8">
        <v>0.15</v>
      </c>
      <c r="K184" s="7">
        <v>194.79</v>
      </c>
      <c r="L184" s="7">
        <f t="shared" si="12"/>
        <v>679.86</v>
      </c>
      <c r="M184" s="7">
        <f t="shared" si="13"/>
        <v>101.979</v>
      </c>
      <c r="N184" s="7">
        <f t="shared" si="14"/>
        <v>577.88099999999997</v>
      </c>
      <c r="O184" s="7">
        <f t="shared" si="15"/>
        <v>389.58</v>
      </c>
      <c r="P184" s="7">
        <f t="shared" si="16"/>
        <v>188.30099999999999</v>
      </c>
      <c r="Q184" s="8">
        <f t="shared" si="17"/>
        <v>0.325847363038411</v>
      </c>
    </row>
    <row r="185" spans="1:17" ht="15" customHeight="1" x14ac:dyDescent="0.3">
      <c r="A185" t="s">
        <v>301</v>
      </c>
      <c r="B185" s="6">
        <v>45332</v>
      </c>
      <c r="C185" t="s">
        <v>71</v>
      </c>
      <c r="D185" t="s">
        <v>85</v>
      </c>
      <c r="E185" t="s">
        <v>173</v>
      </c>
      <c r="F185" t="s">
        <v>74</v>
      </c>
      <c r="G185" t="s">
        <v>135</v>
      </c>
      <c r="H185">
        <v>2</v>
      </c>
      <c r="I185" s="7">
        <v>365.57</v>
      </c>
      <c r="J185" s="8">
        <v>0.2</v>
      </c>
      <c r="K185" s="7">
        <v>173.08</v>
      </c>
      <c r="L185" s="7">
        <f t="shared" si="12"/>
        <v>731.14</v>
      </c>
      <c r="M185" s="7">
        <f t="shared" si="13"/>
        <v>146.22800000000001</v>
      </c>
      <c r="N185" s="7">
        <f t="shared" si="14"/>
        <v>584.91200000000003</v>
      </c>
      <c r="O185" s="7">
        <f t="shared" si="15"/>
        <v>346.16</v>
      </c>
      <c r="P185" s="7">
        <f t="shared" si="16"/>
        <v>238.75200000000001</v>
      </c>
      <c r="Q185" s="8">
        <f t="shared" si="17"/>
        <v>0.40818447903274335</v>
      </c>
    </row>
    <row r="186" spans="1:17" ht="15" customHeight="1" x14ac:dyDescent="0.3">
      <c r="A186" t="s">
        <v>302</v>
      </c>
      <c r="B186" s="6">
        <v>45448</v>
      </c>
      <c r="C186" t="s">
        <v>71</v>
      </c>
      <c r="D186" t="s">
        <v>72</v>
      </c>
      <c r="E186" t="s">
        <v>73</v>
      </c>
      <c r="F186" t="s">
        <v>90</v>
      </c>
      <c r="G186" t="s">
        <v>142</v>
      </c>
      <c r="H186">
        <v>4</v>
      </c>
      <c r="I186" s="7">
        <v>845.39</v>
      </c>
      <c r="J186" s="8">
        <v>0.05</v>
      </c>
      <c r="K186" s="7">
        <v>483.94</v>
      </c>
      <c r="L186" s="7">
        <f t="shared" si="12"/>
        <v>3381.56</v>
      </c>
      <c r="M186" s="7">
        <f t="shared" si="13"/>
        <v>169.078</v>
      </c>
      <c r="N186" s="7">
        <f t="shared" si="14"/>
        <v>3212.482</v>
      </c>
      <c r="O186" s="7">
        <f t="shared" si="15"/>
        <v>1935.76</v>
      </c>
      <c r="P186" s="7">
        <f t="shared" si="16"/>
        <v>1276.722</v>
      </c>
      <c r="Q186" s="8">
        <f t="shared" si="17"/>
        <v>0.3974254174809384</v>
      </c>
    </row>
    <row r="187" spans="1:17" ht="15" customHeight="1" x14ac:dyDescent="0.3">
      <c r="A187" t="s">
        <v>303</v>
      </c>
      <c r="B187" s="6">
        <v>45606</v>
      </c>
      <c r="C187" t="s">
        <v>77</v>
      </c>
      <c r="D187" t="s">
        <v>85</v>
      </c>
      <c r="E187" t="s">
        <v>187</v>
      </c>
      <c r="F187" t="s">
        <v>90</v>
      </c>
      <c r="G187" t="s">
        <v>87</v>
      </c>
      <c r="H187">
        <v>3</v>
      </c>
      <c r="I187" s="7">
        <v>524.48</v>
      </c>
      <c r="J187" s="8">
        <v>0</v>
      </c>
      <c r="K187" s="7">
        <v>219.63</v>
      </c>
      <c r="L187" s="7">
        <f t="shared" si="12"/>
        <v>1573.44</v>
      </c>
      <c r="M187" s="7">
        <f t="shared" si="13"/>
        <v>0</v>
      </c>
      <c r="N187" s="7">
        <f t="shared" si="14"/>
        <v>1573.44</v>
      </c>
      <c r="O187" s="7">
        <f t="shared" si="15"/>
        <v>658.89</v>
      </c>
      <c r="P187" s="7">
        <f t="shared" si="16"/>
        <v>914.55000000000007</v>
      </c>
      <c r="Q187" s="8">
        <f t="shared" si="17"/>
        <v>0.58124237339841367</v>
      </c>
    </row>
    <row r="188" spans="1:17" ht="15" customHeight="1" x14ac:dyDescent="0.3">
      <c r="A188" t="s">
        <v>304</v>
      </c>
      <c r="B188" s="6">
        <v>45307</v>
      </c>
      <c r="C188" t="s">
        <v>93</v>
      </c>
      <c r="D188" t="s">
        <v>108</v>
      </c>
      <c r="E188" t="s">
        <v>128</v>
      </c>
      <c r="F188" t="s">
        <v>90</v>
      </c>
      <c r="G188" t="s">
        <v>106</v>
      </c>
      <c r="H188">
        <v>20</v>
      </c>
      <c r="I188" s="7">
        <v>20.36</v>
      </c>
      <c r="J188" s="8">
        <v>0.15</v>
      </c>
      <c r="K188" s="7">
        <v>8.32</v>
      </c>
      <c r="L188" s="7">
        <f t="shared" si="12"/>
        <v>407.2</v>
      </c>
      <c r="M188" s="7">
        <f t="shared" si="13"/>
        <v>61.08</v>
      </c>
      <c r="N188" s="7">
        <f t="shared" si="14"/>
        <v>346.12</v>
      </c>
      <c r="O188" s="7">
        <f t="shared" si="15"/>
        <v>166.4</v>
      </c>
      <c r="P188" s="7">
        <f t="shared" si="16"/>
        <v>179.72</v>
      </c>
      <c r="Q188" s="8">
        <f t="shared" si="17"/>
        <v>0.51924188142840633</v>
      </c>
    </row>
    <row r="189" spans="1:17" ht="15" customHeight="1" x14ac:dyDescent="0.3">
      <c r="A189" t="s">
        <v>305</v>
      </c>
      <c r="B189" s="6">
        <v>45582</v>
      </c>
      <c r="C189" t="s">
        <v>71</v>
      </c>
      <c r="D189" t="s">
        <v>72</v>
      </c>
      <c r="E189" t="s">
        <v>125</v>
      </c>
      <c r="F189" t="s">
        <v>82</v>
      </c>
      <c r="G189" t="s">
        <v>135</v>
      </c>
      <c r="H189">
        <v>2</v>
      </c>
      <c r="I189" s="7">
        <v>580.73</v>
      </c>
      <c r="J189" s="8">
        <v>0.15</v>
      </c>
      <c r="K189" s="7">
        <v>370.04</v>
      </c>
      <c r="L189" s="7">
        <f t="shared" si="12"/>
        <v>1161.46</v>
      </c>
      <c r="M189" s="7">
        <f t="shared" si="13"/>
        <v>174.21899999999999</v>
      </c>
      <c r="N189" s="7">
        <f t="shared" si="14"/>
        <v>987.24099999999999</v>
      </c>
      <c r="O189" s="7">
        <f t="shared" si="15"/>
        <v>740.08</v>
      </c>
      <c r="P189" s="7">
        <f t="shared" si="16"/>
        <v>247.16099999999994</v>
      </c>
      <c r="Q189" s="8">
        <f t="shared" si="17"/>
        <v>0.25035528305651805</v>
      </c>
    </row>
    <row r="190" spans="1:17" ht="15" customHeight="1" x14ac:dyDescent="0.3">
      <c r="A190" t="s">
        <v>306</v>
      </c>
      <c r="B190" s="6">
        <v>45563</v>
      </c>
      <c r="C190" t="s">
        <v>77</v>
      </c>
      <c r="D190" t="s">
        <v>85</v>
      </c>
      <c r="E190" t="s">
        <v>187</v>
      </c>
      <c r="F190" t="s">
        <v>90</v>
      </c>
      <c r="G190" t="s">
        <v>106</v>
      </c>
      <c r="H190">
        <v>3</v>
      </c>
      <c r="I190" s="7">
        <v>347.75</v>
      </c>
      <c r="J190" s="8">
        <v>0.1</v>
      </c>
      <c r="K190" s="7">
        <v>160.80000000000001</v>
      </c>
      <c r="L190" s="7">
        <f t="shared" si="12"/>
        <v>1043.25</v>
      </c>
      <c r="M190" s="7">
        <f t="shared" si="13"/>
        <v>104.325</v>
      </c>
      <c r="N190" s="7">
        <f t="shared" si="14"/>
        <v>938.92499999999995</v>
      </c>
      <c r="O190" s="7">
        <f t="shared" si="15"/>
        <v>482.40000000000003</v>
      </c>
      <c r="P190" s="7">
        <f t="shared" si="16"/>
        <v>456.52499999999992</v>
      </c>
      <c r="Q190" s="8">
        <f t="shared" si="17"/>
        <v>0.48622094416486933</v>
      </c>
    </row>
    <row r="191" spans="1:17" ht="15" customHeight="1" x14ac:dyDescent="0.3">
      <c r="A191" t="s">
        <v>307</v>
      </c>
      <c r="B191" s="6">
        <v>45490</v>
      </c>
      <c r="C191" t="s">
        <v>79</v>
      </c>
      <c r="D191" t="s">
        <v>72</v>
      </c>
      <c r="E191" t="s">
        <v>73</v>
      </c>
      <c r="F191" t="s">
        <v>82</v>
      </c>
      <c r="G191" t="s">
        <v>114</v>
      </c>
      <c r="H191">
        <v>1</v>
      </c>
      <c r="I191" s="7">
        <v>1144.67</v>
      </c>
      <c r="J191" s="8">
        <v>0.1</v>
      </c>
      <c r="K191" s="7">
        <v>679.64</v>
      </c>
      <c r="L191" s="7">
        <f t="shared" si="12"/>
        <v>1144.67</v>
      </c>
      <c r="M191" s="7">
        <f t="shared" si="13"/>
        <v>114.46700000000001</v>
      </c>
      <c r="N191" s="7">
        <f t="shared" si="14"/>
        <v>1030.203</v>
      </c>
      <c r="O191" s="7">
        <f t="shared" si="15"/>
        <v>679.64</v>
      </c>
      <c r="P191" s="7">
        <f t="shared" si="16"/>
        <v>350.56299999999999</v>
      </c>
      <c r="Q191" s="8">
        <f t="shared" si="17"/>
        <v>0.34028536123463043</v>
      </c>
    </row>
    <row r="192" spans="1:17" ht="15" customHeight="1" x14ac:dyDescent="0.3">
      <c r="A192" t="s">
        <v>308</v>
      </c>
      <c r="B192" s="6">
        <v>45394</v>
      </c>
      <c r="C192" t="s">
        <v>93</v>
      </c>
      <c r="D192" t="s">
        <v>108</v>
      </c>
      <c r="E192" t="s">
        <v>177</v>
      </c>
      <c r="F192" t="s">
        <v>82</v>
      </c>
      <c r="G192" t="s">
        <v>91</v>
      </c>
      <c r="H192">
        <v>3</v>
      </c>
      <c r="I192" s="7">
        <v>19.95</v>
      </c>
      <c r="J192" s="8">
        <v>0.15</v>
      </c>
      <c r="K192" s="7">
        <v>8.84</v>
      </c>
      <c r="L192" s="7">
        <f t="shared" si="12"/>
        <v>59.849999999999994</v>
      </c>
      <c r="M192" s="7">
        <f t="shared" si="13"/>
        <v>8.9774999999999991</v>
      </c>
      <c r="N192" s="7">
        <f t="shared" si="14"/>
        <v>50.872499999999995</v>
      </c>
      <c r="O192" s="7">
        <f t="shared" si="15"/>
        <v>26.52</v>
      </c>
      <c r="P192" s="7">
        <f t="shared" si="16"/>
        <v>24.352499999999996</v>
      </c>
      <c r="Q192" s="8">
        <f t="shared" si="17"/>
        <v>0.47869674185463656</v>
      </c>
    </row>
    <row r="193" spans="1:17" ht="15" customHeight="1" x14ac:dyDescent="0.3">
      <c r="A193" t="s">
        <v>309</v>
      </c>
      <c r="B193" s="6">
        <v>45655</v>
      </c>
      <c r="C193" t="s">
        <v>71</v>
      </c>
      <c r="D193" t="s">
        <v>108</v>
      </c>
      <c r="E193" t="s">
        <v>200</v>
      </c>
      <c r="F193" t="s">
        <v>90</v>
      </c>
      <c r="G193" t="s">
        <v>87</v>
      </c>
      <c r="H193">
        <v>18</v>
      </c>
      <c r="I193" s="7">
        <v>18.8</v>
      </c>
      <c r="J193" s="8">
        <v>0.1</v>
      </c>
      <c r="K193" s="7">
        <v>11.71</v>
      </c>
      <c r="L193" s="7">
        <f t="shared" si="12"/>
        <v>338.40000000000003</v>
      </c>
      <c r="M193" s="7">
        <f t="shared" si="13"/>
        <v>33.840000000000003</v>
      </c>
      <c r="N193" s="7">
        <f t="shared" si="14"/>
        <v>304.56000000000006</v>
      </c>
      <c r="O193" s="7">
        <f t="shared" si="15"/>
        <v>210.78000000000003</v>
      </c>
      <c r="P193" s="7">
        <f t="shared" si="16"/>
        <v>93.78000000000003</v>
      </c>
      <c r="Q193" s="8">
        <f t="shared" si="17"/>
        <v>0.30791962174940901</v>
      </c>
    </row>
    <row r="194" spans="1:17" ht="15" customHeight="1" x14ac:dyDescent="0.3">
      <c r="A194" t="s">
        <v>310</v>
      </c>
      <c r="B194" s="6">
        <v>45354</v>
      </c>
      <c r="C194" t="s">
        <v>71</v>
      </c>
      <c r="D194" t="s">
        <v>117</v>
      </c>
      <c r="E194" t="s">
        <v>133</v>
      </c>
      <c r="F194" t="s">
        <v>90</v>
      </c>
      <c r="G194" t="s">
        <v>75</v>
      </c>
      <c r="H194">
        <v>2</v>
      </c>
      <c r="I194" s="7">
        <v>178.57</v>
      </c>
      <c r="J194" s="8">
        <v>0.05</v>
      </c>
      <c r="K194" s="7">
        <v>106.71</v>
      </c>
      <c r="L194" s="7">
        <f t="shared" ref="L194:L257" si="18">H194*I194</f>
        <v>357.14</v>
      </c>
      <c r="M194" s="7">
        <f t="shared" ref="M194:M257" si="19">L194*J194</f>
        <v>17.856999999999999</v>
      </c>
      <c r="N194" s="7">
        <f t="shared" ref="N194:N257" si="20">L194-M194</f>
        <v>339.28300000000002</v>
      </c>
      <c r="O194" s="7">
        <f t="shared" ref="O194:O257" si="21">H194*K194</f>
        <v>213.42</v>
      </c>
      <c r="P194" s="7">
        <f t="shared" ref="P194:P257" si="22">N194-O194</f>
        <v>125.86300000000003</v>
      </c>
      <c r="Q194" s="8">
        <f t="shared" ref="Q194:Q257" si="23">IF(N194=0,0,P194/N194)</f>
        <v>0.37096759931974199</v>
      </c>
    </row>
    <row r="195" spans="1:17" ht="15" customHeight="1" x14ac:dyDescent="0.3">
      <c r="A195" t="s">
        <v>311</v>
      </c>
      <c r="B195" s="6">
        <v>45531</v>
      </c>
      <c r="C195" t="s">
        <v>93</v>
      </c>
      <c r="D195" t="s">
        <v>72</v>
      </c>
      <c r="E195" t="s">
        <v>123</v>
      </c>
      <c r="F195" t="s">
        <v>90</v>
      </c>
      <c r="G195" t="s">
        <v>87</v>
      </c>
      <c r="H195">
        <v>5</v>
      </c>
      <c r="I195" s="7">
        <v>1074.3399999999999</v>
      </c>
      <c r="J195" s="8">
        <v>0.05</v>
      </c>
      <c r="K195" s="7">
        <v>594.1</v>
      </c>
      <c r="L195" s="7">
        <f t="shared" si="18"/>
        <v>5371.7</v>
      </c>
      <c r="M195" s="7">
        <f t="shared" si="19"/>
        <v>268.58499999999998</v>
      </c>
      <c r="N195" s="7">
        <f t="shared" si="20"/>
        <v>5103.1149999999998</v>
      </c>
      <c r="O195" s="7">
        <f t="shared" si="21"/>
        <v>2970.5</v>
      </c>
      <c r="P195" s="7">
        <f t="shared" si="22"/>
        <v>2132.6149999999998</v>
      </c>
      <c r="Q195" s="8">
        <f t="shared" si="23"/>
        <v>0.41790455437512186</v>
      </c>
    </row>
    <row r="196" spans="1:17" ht="15" customHeight="1" x14ac:dyDescent="0.3">
      <c r="A196" t="s">
        <v>312</v>
      </c>
      <c r="B196" s="6">
        <v>45561</v>
      </c>
      <c r="C196" t="s">
        <v>71</v>
      </c>
      <c r="D196" t="s">
        <v>72</v>
      </c>
      <c r="E196" t="s">
        <v>73</v>
      </c>
      <c r="F196" t="s">
        <v>82</v>
      </c>
      <c r="G196" t="s">
        <v>91</v>
      </c>
      <c r="H196">
        <v>4</v>
      </c>
      <c r="I196" s="7">
        <v>822.91</v>
      </c>
      <c r="J196" s="8">
        <v>0.2</v>
      </c>
      <c r="K196" s="7">
        <v>344.34</v>
      </c>
      <c r="L196" s="7">
        <f t="shared" si="18"/>
        <v>3291.64</v>
      </c>
      <c r="M196" s="7">
        <f t="shared" si="19"/>
        <v>658.32799999999997</v>
      </c>
      <c r="N196" s="7">
        <f t="shared" si="20"/>
        <v>2633.3119999999999</v>
      </c>
      <c r="O196" s="7">
        <f t="shared" si="21"/>
        <v>1377.36</v>
      </c>
      <c r="P196" s="7">
        <f t="shared" si="22"/>
        <v>1255.952</v>
      </c>
      <c r="Q196" s="8">
        <f t="shared" si="23"/>
        <v>0.47694766134814259</v>
      </c>
    </row>
    <row r="197" spans="1:17" ht="15" customHeight="1" x14ac:dyDescent="0.3">
      <c r="A197" t="s">
        <v>313</v>
      </c>
      <c r="B197" s="6">
        <v>45468</v>
      </c>
      <c r="C197" t="s">
        <v>102</v>
      </c>
      <c r="D197" t="s">
        <v>85</v>
      </c>
      <c r="E197" t="s">
        <v>100</v>
      </c>
      <c r="F197" t="s">
        <v>82</v>
      </c>
      <c r="G197" t="s">
        <v>114</v>
      </c>
      <c r="H197">
        <v>5</v>
      </c>
      <c r="I197" s="7">
        <v>280.93</v>
      </c>
      <c r="J197" s="8">
        <v>0.2</v>
      </c>
      <c r="K197" s="7">
        <v>125.15</v>
      </c>
      <c r="L197" s="7">
        <f t="shared" si="18"/>
        <v>1404.65</v>
      </c>
      <c r="M197" s="7">
        <f t="shared" si="19"/>
        <v>280.93</v>
      </c>
      <c r="N197" s="7">
        <f t="shared" si="20"/>
        <v>1123.72</v>
      </c>
      <c r="O197" s="7">
        <f t="shared" si="21"/>
        <v>625.75</v>
      </c>
      <c r="P197" s="7">
        <f t="shared" si="22"/>
        <v>497.97</v>
      </c>
      <c r="Q197" s="8">
        <f t="shared" si="23"/>
        <v>0.44314419962268181</v>
      </c>
    </row>
    <row r="198" spans="1:17" ht="15" customHeight="1" x14ac:dyDescent="0.3">
      <c r="A198" t="s">
        <v>314</v>
      </c>
      <c r="B198" s="6">
        <v>45557</v>
      </c>
      <c r="C198" t="s">
        <v>93</v>
      </c>
      <c r="D198" t="s">
        <v>117</v>
      </c>
      <c r="E198" t="s">
        <v>140</v>
      </c>
      <c r="F198" t="s">
        <v>74</v>
      </c>
      <c r="G198" t="s">
        <v>94</v>
      </c>
      <c r="H198">
        <v>2</v>
      </c>
      <c r="I198" s="7">
        <v>98.69</v>
      </c>
      <c r="J198" s="8">
        <v>0.05</v>
      </c>
      <c r="K198" s="7">
        <v>47.44</v>
      </c>
      <c r="L198" s="7">
        <f t="shared" si="18"/>
        <v>197.38</v>
      </c>
      <c r="M198" s="7">
        <f t="shared" si="19"/>
        <v>9.8689999999999998</v>
      </c>
      <c r="N198" s="7">
        <f t="shared" si="20"/>
        <v>187.511</v>
      </c>
      <c r="O198" s="7">
        <f t="shared" si="21"/>
        <v>94.88</v>
      </c>
      <c r="P198" s="7">
        <f t="shared" si="22"/>
        <v>92.631</v>
      </c>
      <c r="Q198" s="8">
        <f t="shared" si="23"/>
        <v>0.49400301848958195</v>
      </c>
    </row>
    <row r="199" spans="1:17" ht="15" customHeight="1" x14ac:dyDescent="0.3">
      <c r="A199" t="s">
        <v>315</v>
      </c>
      <c r="B199" s="6">
        <v>45420</v>
      </c>
      <c r="C199" t="s">
        <v>93</v>
      </c>
      <c r="D199" t="s">
        <v>117</v>
      </c>
      <c r="E199" t="s">
        <v>121</v>
      </c>
      <c r="F199" t="s">
        <v>82</v>
      </c>
      <c r="G199" t="s">
        <v>94</v>
      </c>
      <c r="H199">
        <v>5</v>
      </c>
      <c r="I199" s="7">
        <v>102.84</v>
      </c>
      <c r="J199" s="8">
        <v>0.1</v>
      </c>
      <c r="K199" s="7">
        <v>44.35</v>
      </c>
      <c r="L199" s="7">
        <f t="shared" si="18"/>
        <v>514.20000000000005</v>
      </c>
      <c r="M199" s="7">
        <f t="shared" si="19"/>
        <v>51.420000000000009</v>
      </c>
      <c r="N199" s="7">
        <f t="shared" si="20"/>
        <v>462.78000000000003</v>
      </c>
      <c r="O199" s="7">
        <f t="shared" si="21"/>
        <v>221.75</v>
      </c>
      <c r="P199" s="7">
        <f t="shared" si="22"/>
        <v>241.03000000000003</v>
      </c>
      <c r="Q199" s="8">
        <f t="shared" si="23"/>
        <v>0.52083063226587145</v>
      </c>
    </row>
    <row r="200" spans="1:17" ht="15" customHeight="1" x14ac:dyDescent="0.3">
      <c r="A200" t="s">
        <v>316</v>
      </c>
      <c r="B200" s="6">
        <v>45620</v>
      </c>
      <c r="C200" t="s">
        <v>93</v>
      </c>
      <c r="D200" t="s">
        <v>85</v>
      </c>
      <c r="E200" t="s">
        <v>173</v>
      </c>
      <c r="F200" t="s">
        <v>74</v>
      </c>
      <c r="G200" t="s">
        <v>114</v>
      </c>
      <c r="H200">
        <v>5</v>
      </c>
      <c r="I200" s="7">
        <v>292.22000000000003</v>
      </c>
      <c r="J200" s="8">
        <v>0.05</v>
      </c>
      <c r="K200" s="7">
        <v>129.4</v>
      </c>
      <c r="L200" s="7">
        <f t="shared" si="18"/>
        <v>1461.1000000000001</v>
      </c>
      <c r="M200" s="7">
        <f t="shared" si="19"/>
        <v>73.055000000000007</v>
      </c>
      <c r="N200" s="7">
        <f t="shared" si="20"/>
        <v>1388.0450000000001</v>
      </c>
      <c r="O200" s="7">
        <f t="shared" si="21"/>
        <v>647</v>
      </c>
      <c r="P200" s="7">
        <f t="shared" si="22"/>
        <v>741.04500000000007</v>
      </c>
      <c r="Q200" s="8">
        <f t="shared" si="23"/>
        <v>0.53387678353367507</v>
      </c>
    </row>
    <row r="201" spans="1:17" ht="15" customHeight="1" x14ac:dyDescent="0.3">
      <c r="A201" t="s">
        <v>317</v>
      </c>
      <c r="B201" s="6">
        <v>45306</v>
      </c>
      <c r="C201" t="s">
        <v>71</v>
      </c>
      <c r="D201" t="s">
        <v>80</v>
      </c>
      <c r="E201" t="s">
        <v>138</v>
      </c>
      <c r="F201" t="s">
        <v>90</v>
      </c>
      <c r="G201" t="s">
        <v>110</v>
      </c>
      <c r="H201">
        <v>5</v>
      </c>
      <c r="I201" s="7">
        <v>153</v>
      </c>
      <c r="J201" s="8">
        <v>0.1</v>
      </c>
      <c r="K201" s="7">
        <v>86.11</v>
      </c>
      <c r="L201" s="7">
        <f t="shared" si="18"/>
        <v>765</v>
      </c>
      <c r="M201" s="7">
        <f t="shared" si="19"/>
        <v>76.5</v>
      </c>
      <c r="N201" s="7">
        <f t="shared" si="20"/>
        <v>688.5</v>
      </c>
      <c r="O201" s="7">
        <f t="shared" si="21"/>
        <v>430.55</v>
      </c>
      <c r="P201" s="7">
        <f t="shared" si="22"/>
        <v>257.95</v>
      </c>
      <c r="Q201" s="8">
        <f t="shared" si="23"/>
        <v>0.37465504720406678</v>
      </c>
    </row>
    <row r="202" spans="1:17" ht="15" customHeight="1" x14ac:dyDescent="0.3">
      <c r="A202" t="s">
        <v>318</v>
      </c>
      <c r="B202" s="6">
        <v>45546</v>
      </c>
      <c r="C202" t="s">
        <v>93</v>
      </c>
      <c r="D202" t="s">
        <v>80</v>
      </c>
      <c r="E202" t="s">
        <v>81</v>
      </c>
      <c r="F202" t="s">
        <v>90</v>
      </c>
      <c r="G202" t="s">
        <v>110</v>
      </c>
      <c r="H202">
        <v>5</v>
      </c>
      <c r="I202" s="7">
        <v>282.24</v>
      </c>
      <c r="J202" s="8">
        <v>0.1</v>
      </c>
      <c r="K202" s="7">
        <v>158.19</v>
      </c>
      <c r="L202" s="7">
        <f t="shared" si="18"/>
        <v>1411.2</v>
      </c>
      <c r="M202" s="7">
        <f t="shared" si="19"/>
        <v>141.12</v>
      </c>
      <c r="N202" s="7">
        <f t="shared" si="20"/>
        <v>1270.08</v>
      </c>
      <c r="O202" s="7">
        <f t="shared" si="21"/>
        <v>790.95</v>
      </c>
      <c r="P202" s="7">
        <f t="shared" si="22"/>
        <v>479.12999999999988</v>
      </c>
      <c r="Q202" s="8">
        <f t="shared" si="23"/>
        <v>0.3772439531368102</v>
      </c>
    </row>
    <row r="203" spans="1:17" ht="15" customHeight="1" x14ac:dyDescent="0.3">
      <c r="A203" t="s">
        <v>319</v>
      </c>
      <c r="B203" s="6">
        <v>45444</v>
      </c>
      <c r="C203" t="s">
        <v>79</v>
      </c>
      <c r="D203" t="s">
        <v>85</v>
      </c>
      <c r="E203" t="s">
        <v>187</v>
      </c>
      <c r="F203" t="s">
        <v>90</v>
      </c>
      <c r="G203" t="s">
        <v>135</v>
      </c>
      <c r="H203">
        <v>1</v>
      </c>
      <c r="I203" s="7">
        <v>371.99</v>
      </c>
      <c r="J203" s="8">
        <v>0.05</v>
      </c>
      <c r="K203" s="7">
        <v>189.68</v>
      </c>
      <c r="L203" s="7">
        <f t="shared" si="18"/>
        <v>371.99</v>
      </c>
      <c r="M203" s="7">
        <f t="shared" si="19"/>
        <v>18.599500000000003</v>
      </c>
      <c r="N203" s="7">
        <f t="shared" si="20"/>
        <v>353.39050000000003</v>
      </c>
      <c r="O203" s="7">
        <f t="shared" si="21"/>
        <v>189.68</v>
      </c>
      <c r="P203" s="7">
        <f t="shared" si="22"/>
        <v>163.71050000000002</v>
      </c>
      <c r="Q203" s="8">
        <f t="shared" si="23"/>
        <v>0.46325665234351238</v>
      </c>
    </row>
    <row r="204" spans="1:17" ht="15" customHeight="1" x14ac:dyDescent="0.3">
      <c r="A204" t="s">
        <v>320</v>
      </c>
      <c r="B204" s="6">
        <v>45365</v>
      </c>
      <c r="C204" t="s">
        <v>79</v>
      </c>
      <c r="D204" t="s">
        <v>108</v>
      </c>
      <c r="E204" t="s">
        <v>162</v>
      </c>
      <c r="F204" t="s">
        <v>82</v>
      </c>
      <c r="G204" t="s">
        <v>83</v>
      </c>
      <c r="H204">
        <v>11</v>
      </c>
      <c r="I204" s="7">
        <v>23.75</v>
      </c>
      <c r="J204" s="8">
        <v>0.1</v>
      </c>
      <c r="K204" s="7">
        <v>15.29</v>
      </c>
      <c r="L204" s="7">
        <f t="shared" si="18"/>
        <v>261.25</v>
      </c>
      <c r="M204" s="7">
        <f t="shared" si="19"/>
        <v>26.125</v>
      </c>
      <c r="N204" s="7">
        <f t="shared" si="20"/>
        <v>235.125</v>
      </c>
      <c r="O204" s="7">
        <f t="shared" si="21"/>
        <v>168.19</v>
      </c>
      <c r="P204" s="7">
        <f t="shared" si="22"/>
        <v>66.935000000000002</v>
      </c>
      <c r="Q204" s="8">
        <f t="shared" si="23"/>
        <v>0.28467836257309942</v>
      </c>
    </row>
    <row r="205" spans="1:17" ht="15" customHeight="1" x14ac:dyDescent="0.3">
      <c r="A205" t="s">
        <v>321</v>
      </c>
      <c r="B205" s="6">
        <v>45455</v>
      </c>
      <c r="C205" t="s">
        <v>93</v>
      </c>
      <c r="D205" t="s">
        <v>117</v>
      </c>
      <c r="E205" t="s">
        <v>121</v>
      </c>
      <c r="F205" t="s">
        <v>90</v>
      </c>
      <c r="G205" t="s">
        <v>94</v>
      </c>
      <c r="H205">
        <v>1</v>
      </c>
      <c r="I205" s="7">
        <v>107.21</v>
      </c>
      <c r="J205" s="8">
        <v>0.1</v>
      </c>
      <c r="K205" s="7">
        <v>54.93</v>
      </c>
      <c r="L205" s="7">
        <f t="shared" si="18"/>
        <v>107.21</v>
      </c>
      <c r="M205" s="7">
        <f t="shared" si="19"/>
        <v>10.721</v>
      </c>
      <c r="N205" s="7">
        <f t="shared" si="20"/>
        <v>96.48899999999999</v>
      </c>
      <c r="O205" s="7">
        <f t="shared" si="21"/>
        <v>54.93</v>
      </c>
      <c r="P205" s="7">
        <f t="shared" si="22"/>
        <v>41.55899999999999</v>
      </c>
      <c r="Q205" s="8">
        <f t="shared" si="23"/>
        <v>0.43071230917513909</v>
      </c>
    </row>
    <row r="206" spans="1:17" ht="15" customHeight="1" x14ac:dyDescent="0.3">
      <c r="A206" t="s">
        <v>322</v>
      </c>
      <c r="B206" s="6">
        <v>45607</v>
      </c>
      <c r="C206" t="s">
        <v>77</v>
      </c>
      <c r="D206" t="s">
        <v>117</v>
      </c>
      <c r="E206" t="s">
        <v>131</v>
      </c>
      <c r="F206" t="s">
        <v>82</v>
      </c>
      <c r="G206" t="s">
        <v>135</v>
      </c>
      <c r="H206">
        <v>2</v>
      </c>
      <c r="I206" s="7">
        <v>124.14</v>
      </c>
      <c r="J206" s="8">
        <v>0.1</v>
      </c>
      <c r="K206" s="7">
        <v>78.63</v>
      </c>
      <c r="L206" s="7">
        <f t="shared" si="18"/>
        <v>248.28</v>
      </c>
      <c r="M206" s="7">
        <f t="shared" si="19"/>
        <v>24.828000000000003</v>
      </c>
      <c r="N206" s="7">
        <f t="shared" si="20"/>
        <v>223.452</v>
      </c>
      <c r="O206" s="7">
        <f t="shared" si="21"/>
        <v>157.26</v>
      </c>
      <c r="P206" s="7">
        <f t="shared" si="22"/>
        <v>66.192000000000007</v>
      </c>
      <c r="Q206" s="8">
        <f t="shared" si="23"/>
        <v>0.29622469255142048</v>
      </c>
    </row>
    <row r="207" spans="1:17" ht="15" customHeight="1" x14ac:dyDescent="0.3">
      <c r="A207" t="s">
        <v>323</v>
      </c>
      <c r="B207" s="6">
        <v>45531</v>
      </c>
      <c r="C207" t="s">
        <v>79</v>
      </c>
      <c r="D207" t="s">
        <v>85</v>
      </c>
      <c r="E207" t="s">
        <v>103</v>
      </c>
      <c r="F207" t="s">
        <v>82</v>
      </c>
      <c r="G207" t="s">
        <v>114</v>
      </c>
      <c r="H207">
        <v>3</v>
      </c>
      <c r="I207" s="7">
        <v>384.65</v>
      </c>
      <c r="J207" s="8">
        <v>0.15</v>
      </c>
      <c r="K207" s="7">
        <v>156.09</v>
      </c>
      <c r="L207" s="7">
        <f t="shared" si="18"/>
        <v>1153.9499999999998</v>
      </c>
      <c r="M207" s="7">
        <f t="shared" si="19"/>
        <v>173.09249999999997</v>
      </c>
      <c r="N207" s="7">
        <f t="shared" si="20"/>
        <v>980.85749999999985</v>
      </c>
      <c r="O207" s="7">
        <f t="shared" si="21"/>
        <v>468.27</v>
      </c>
      <c r="P207" s="7">
        <f t="shared" si="22"/>
        <v>512.58749999999986</v>
      </c>
      <c r="Q207" s="8">
        <f t="shared" si="23"/>
        <v>0.52259120208592991</v>
      </c>
    </row>
    <row r="208" spans="1:17" ht="15" customHeight="1" x14ac:dyDescent="0.3">
      <c r="A208" t="s">
        <v>324</v>
      </c>
      <c r="B208" s="6">
        <v>45590</v>
      </c>
      <c r="C208" t="s">
        <v>102</v>
      </c>
      <c r="D208" t="s">
        <v>108</v>
      </c>
      <c r="E208" t="s">
        <v>109</v>
      </c>
      <c r="F208" t="s">
        <v>74</v>
      </c>
      <c r="G208" t="s">
        <v>75</v>
      </c>
      <c r="H208">
        <v>2</v>
      </c>
      <c r="I208" s="7">
        <v>24.56</v>
      </c>
      <c r="J208" s="8">
        <v>0.1</v>
      </c>
      <c r="K208" s="7">
        <v>12.86</v>
      </c>
      <c r="L208" s="7">
        <f t="shared" si="18"/>
        <v>49.12</v>
      </c>
      <c r="M208" s="7">
        <f t="shared" si="19"/>
        <v>4.9119999999999999</v>
      </c>
      <c r="N208" s="7">
        <f t="shared" si="20"/>
        <v>44.207999999999998</v>
      </c>
      <c r="O208" s="7">
        <f t="shared" si="21"/>
        <v>25.72</v>
      </c>
      <c r="P208" s="7">
        <f t="shared" si="22"/>
        <v>18.488</v>
      </c>
      <c r="Q208" s="8">
        <f t="shared" si="23"/>
        <v>0.41820484980094103</v>
      </c>
    </row>
    <row r="209" spans="1:17" ht="15" customHeight="1" x14ac:dyDescent="0.3">
      <c r="A209" t="s">
        <v>325</v>
      </c>
      <c r="B209" s="6">
        <v>45512</v>
      </c>
      <c r="C209" t="s">
        <v>93</v>
      </c>
      <c r="D209" t="s">
        <v>108</v>
      </c>
      <c r="E209" t="s">
        <v>128</v>
      </c>
      <c r="F209" t="s">
        <v>74</v>
      </c>
      <c r="G209" t="s">
        <v>94</v>
      </c>
      <c r="H209">
        <v>9</v>
      </c>
      <c r="I209" s="7">
        <v>20.18</v>
      </c>
      <c r="J209" s="8">
        <v>0.1</v>
      </c>
      <c r="K209" s="7">
        <v>11.93</v>
      </c>
      <c r="L209" s="7">
        <f t="shared" si="18"/>
        <v>181.62</v>
      </c>
      <c r="M209" s="7">
        <f t="shared" si="19"/>
        <v>18.162000000000003</v>
      </c>
      <c r="N209" s="7">
        <f t="shared" si="20"/>
        <v>163.458</v>
      </c>
      <c r="O209" s="7">
        <f t="shared" si="21"/>
        <v>107.37</v>
      </c>
      <c r="P209" s="7">
        <f t="shared" si="22"/>
        <v>56.087999999999994</v>
      </c>
      <c r="Q209" s="8">
        <f t="shared" si="23"/>
        <v>0.34313401607752447</v>
      </c>
    </row>
    <row r="210" spans="1:17" ht="15" customHeight="1" x14ac:dyDescent="0.3">
      <c r="A210" t="s">
        <v>326</v>
      </c>
      <c r="B210" s="6">
        <v>45579</v>
      </c>
      <c r="C210" t="s">
        <v>102</v>
      </c>
      <c r="D210" t="s">
        <v>85</v>
      </c>
      <c r="E210" t="s">
        <v>100</v>
      </c>
      <c r="F210" t="s">
        <v>74</v>
      </c>
      <c r="G210" t="s">
        <v>83</v>
      </c>
      <c r="H210">
        <v>5</v>
      </c>
      <c r="I210" s="7">
        <v>299.5</v>
      </c>
      <c r="J210" s="8">
        <v>0.1</v>
      </c>
      <c r="K210" s="7">
        <v>125.31</v>
      </c>
      <c r="L210" s="7">
        <f t="shared" si="18"/>
        <v>1497.5</v>
      </c>
      <c r="M210" s="7">
        <f t="shared" si="19"/>
        <v>149.75</v>
      </c>
      <c r="N210" s="7">
        <f t="shared" si="20"/>
        <v>1347.75</v>
      </c>
      <c r="O210" s="7">
        <f t="shared" si="21"/>
        <v>626.54999999999995</v>
      </c>
      <c r="P210" s="7">
        <f t="shared" si="22"/>
        <v>721.2</v>
      </c>
      <c r="Q210" s="8">
        <f t="shared" si="23"/>
        <v>0.53511407902058994</v>
      </c>
    </row>
    <row r="211" spans="1:17" ht="15" customHeight="1" x14ac:dyDescent="0.3">
      <c r="A211" t="s">
        <v>327</v>
      </c>
      <c r="B211" s="6">
        <v>45640</v>
      </c>
      <c r="C211" t="s">
        <v>93</v>
      </c>
      <c r="D211" t="s">
        <v>80</v>
      </c>
      <c r="E211" t="s">
        <v>81</v>
      </c>
      <c r="F211" t="s">
        <v>82</v>
      </c>
      <c r="G211" t="s">
        <v>83</v>
      </c>
      <c r="H211">
        <v>2</v>
      </c>
      <c r="I211" s="7">
        <v>237.77</v>
      </c>
      <c r="J211" s="8">
        <v>0</v>
      </c>
      <c r="K211" s="7">
        <v>118.52</v>
      </c>
      <c r="L211" s="7">
        <f t="shared" si="18"/>
        <v>475.54</v>
      </c>
      <c r="M211" s="7">
        <f t="shared" si="19"/>
        <v>0</v>
      </c>
      <c r="N211" s="7">
        <f t="shared" si="20"/>
        <v>475.54</v>
      </c>
      <c r="O211" s="7">
        <f t="shared" si="21"/>
        <v>237.04</v>
      </c>
      <c r="P211" s="7">
        <f t="shared" si="22"/>
        <v>238.50000000000003</v>
      </c>
      <c r="Q211" s="8">
        <f t="shared" si="23"/>
        <v>0.50153509694242338</v>
      </c>
    </row>
    <row r="212" spans="1:17" ht="15" customHeight="1" x14ac:dyDescent="0.3">
      <c r="A212" t="s">
        <v>328</v>
      </c>
      <c r="B212" s="6">
        <v>45600</v>
      </c>
      <c r="C212" t="s">
        <v>71</v>
      </c>
      <c r="D212" t="s">
        <v>85</v>
      </c>
      <c r="E212" t="s">
        <v>173</v>
      </c>
      <c r="F212" t="s">
        <v>74</v>
      </c>
      <c r="G212" t="s">
        <v>75</v>
      </c>
      <c r="H212">
        <v>5</v>
      </c>
      <c r="I212" s="7">
        <v>387.55</v>
      </c>
      <c r="J212" s="8">
        <v>0</v>
      </c>
      <c r="K212" s="7">
        <v>159.41</v>
      </c>
      <c r="L212" s="7">
        <f t="shared" si="18"/>
        <v>1937.75</v>
      </c>
      <c r="M212" s="7">
        <f t="shared" si="19"/>
        <v>0</v>
      </c>
      <c r="N212" s="7">
        <f t="shared" si="20"/>
        <v>1937.75</v>
      </c>
      <c r="O212" s="7">
        <f t="shared" si="21"/>
        <v>797.05</v>
      </c>
      <c r="P212" s="7">
        <f t="shared" si="22"/>
        <v>1140.7</v>
      </c>
      <c r="Q212" s="8">
        <f t="shared" si="23"/>
        <v>0.58867242936395303</v>
      </c>
    </row>
    <row r="213" spans="1:17" ht="15" customHeight="1" x14ac:dyDescent="0.3">
      <c r="A213" t="s">
        <v>329</v>
      </c>
      <c r="B213" s="6">
        <v>45368</v>
      </c>
      <c r="C213" t="s">
        <v>102</v>
      </c>
      <c r="D213" t="s">
        <v>117</v>
      </c>
      <c r="E213" t="s">
        <v>121</v>
      </c>
      <c r="F213" t="s">
        <v>90</v>
      </c>
      <c r="G213" t="s">
        <v>91</v>
      </c>
      <c r="H213">
        <v>5</v>
      </c>
      <c r="I213" s="7">
        <v>142.19999999999999</v>
      </c>
      <c r="J213" s="8">
        <v>0.05</v>
      </c>
      <c r="K213" s="7">
        <v>68.540000000000006</v>
      </c>
      <c r="L213" s="7">
        <f t="shared" si="18"/>
        <v>711</v>
      </c>
      <c r="M213" s="7">
        <f t="shared" si="19"/>
        <v>35.550000000000004</v>
      </c>
      <c r="N213" s="7">
        <f t="shared" si="20"/>
        <v>675.45</v>
      </c>
      <c r="O213" s="7">
        <f t="shared" si="21"/>
        <v>342.70000000000005</v>
      </c>
      <c r="P213" s="7">
        <f t="shared" si="22"/>
        <v>332.75</v>
      </c>
      <c r="Q213" s="8">
        <f t="shared" si="23"/>
        <v>0.49263453993633871</v>
      </c>
    </row>
    <row r="214" spans="1:17" ht="15" customHeight="1" x14ac:dyDescent="0.3">
      <c r="A214" t="s">
        <v>330</v>
      </c>
      <c r="B214" s="6">
        <v>45445</v>
      </c>
      <c r="C214" t="s">
        <v>79</v>
      </c>
      <c r="D214" t="s">
        <v>80</v>
      </c>
      <c r="E214" t="s">
        <v>89</v>
      </c>
      <c r="F214" t="s">
        <v>82</v>
      </c>
      <c r="G214" t="s">
        <v>83</v>
      </c>
      <c r="H214">
        <v>5</v>
      </c>
      <c r="I214" s="7">
        <v>235</v>
      </c>
      <c r="J214" s="8">
        <v>0.2</v>
      </c>
      <c r="K214" s="7">
        <v>125.27</v>
      </c>
      <c r="L214" s="7">
        <f t="shared" si="18"/>
        <v>1175</v>
      </c>
      <c r="M214" s="7">
        <f t="shared" si="19"/>
        <v>235</v>
      </c>
      <c r="N214" s="7">
        <f t="shared" si="20"/>
        <v>940</v>
      </c>
      <c r="O214" s="7">
        <f t="shared" si="21"/>
        <v>626.35</v>
      </c>
      <c r="P214" s="7">
        <f t="shared" si="22"/>
        <v>313.64999999999998</v>
      </c>
      <c r="Q214" s="8">
        <f t="shared" si="23"/>
        <v>0.33367021276595743</v>
      </c>
    </row>
    <row r="215" spans="1:17" ht="15" customHeight="1" x14ac:dyDescent="0.3">
      <c r="A215" t="s">
        <v>331</v>
      </c>
      <c r="B215" s="6">
        <v>45461</v>
      </c>
      <c r="C215" t="s">
        <v>102</v>
      </c>
      <c r="D215" t="s">
        <v>80</v>
      </c>
      <c r="E215" t="s">
        <v>89</v>
      </c>
      <c r="F215" t="s">
        <v>74</v>
      </c>
      <c r="G215" t="s">
        <v>87</v>
      </c>
      <c r="H215">
        <v>4</v>
      </c>
      <c r="I215" s="7">
        <v>247.81</v>
      </c>
      <c r="J215" s="8">
        <v>0.2</v>
      </c>
      <c r="K215" s="7">
        <v>118.19</v>
      </c>
      <c r="L215" s="7">
        <f t="shared" si="18"/>
        <v>991.24</v>
      </c>
      <c r="M215" s="7">
        <f t="shared" si="19"/>
        <v>198.24800000000002</v>
      </c>
      <c r="N215" s="7">
        <f t="shared" si="20"/>
        <v>792.99199999999996</v>
      </c>
      <c r="O215" s="7">
        <f t="shared" si="21"/>
        <v>472.76</v>
      </c>
      <c r="P215" s="7">
        <f t="shared" si="22"/>
        <v>320.23199999999997</v>
      </c>
      <c r="Q215" s="8">
        <f t="shared" si="23"/>
        <v>0.40382752915540132</v>
      </c>
    </row>
    <row r="216" spans="1:17" ht="15" customHeight="1" x14ac:dyDescent="0.3">
      <c r="A216" t="s">
        <v>332</v>
      </c>
      <c r="B216" s="6">
        <v>45587</v>
      </c>
      <c r="C216" t="s">
        <v>102</v>
      </c>
      <c r="D216" t="s">
        <v>72</v>
      </c>
      <c r="E216" t="s">
        <v>98</v>
      </c>
      <c r="F216" t="s">
        <v>82</v>
      </c>
      <c r="G216" t="s">
        <v>83</v>
      </c>
      <c r="H216">
        <v>1</v>
      </c>
      <c r="I216" s="7">
        <v>705.63</v>
      </c>
      <c r="J216" s="8">
        <v>0.2</v>
      </c>
      <c r="K216" s="7">
        <v>367.01</v>
      </c>
      <c r="L216" s="7">
        <f t="shared" si="18"/>
        <v>705.63</v>
      </c>
      <c r="M216" s="7">
        <f t="shared" si="19"/>
        <v>141.126</v>
      </c>
      <c r="N216" s="7">
        <f t="shared" si="20"/>
        <v>564.50400000000002</v>
      </c>
      <c r="O216" s="7">
        <f t="shared" si="21"/>
        <v>367.01</v>
      </c>
      <c r="P216" s="7">
        <f t="shared" si="22"/>
        <v>197.49400000000003</v>
      </c>
      <c r="Q216" s="8">
        <f t="shared" si="23"/>
        <v>0.34985403114946928</v>
      </c>
    </row>
    <row r="217" spans="1:17" ht="15" customHeight="1" x14ac:dyDescent="0.3">
      <c r="A217" t="s">
        <v>333</v>
      </c>
      <c r="B217" s="6">
        <v>45308</v>
      </c>
      <c r="C217" t="s">
        <v>102</v>
      </c>
      <c r="D217" t="s">
        <v>80</v>
      </c>
      <c r="E217" t="s">
        <v>138</v>
      </c>
      <c r="F217" t="s">
        <v>74</v>
      </c>
      <c r="G217" t="s">
        <v>75</v>
      </c>
      <c r="H217">
        <v>1</v>
      </c>
      <c r="I217" s="7">
        <v>231.61</v>
      </c>
      <c r="J217" s="8">
        <v>0.05</v>
      </c>
      <c r="K217" s="7">
        <v>93.74</v>
      </c>
      <c r="L217" s="7">
        <f t="shared" si="18"/>
        <v>231.61</v>
      </c>
      <c r="M217" s="7">
        <f t="shared" si="19"/>
        <v>11.580500000000001</v>
      </c>
      <c r="N217" s="7">
        <f t="shared" si="20"/>
        <v>220.02950000000001</v>
      </c>
      <c r="O217" s="7">
        <f t="shared" si="21"/>
        <v>93.74</v>
      </c>
      <c r="P217" s="7">
        <f t="shared" si="22"/>
        <v>126.28950000000002</v>
      </c>
      <c r="Q217" s="8">
        <f t="shared" si="23"/>
        <v>0.57396621816620053</v>
      </c>
    </row>
    <row r="218" spans="1:17" ht="15" customHeight="1" x14ac:dyDescent="0.3">
      <c r="A218" t="s">
        <v>334</v>
      </c>
      <c r="B218" s="6">
        <v>45502</v>
      </c>
      <c r="C218" t="s">
        <v>79</v>
      </c>
      <c r="D218" t="s">
        <v>85</v>
      </c>
      <c r="E218" t="s">
        <v>187</v>
      </c>
      <c r="F218" t="s">
        <v>82</v>
      </c>
      <c r="G218" t="s">
        <v>75</v>
      </c>
      <c r="H218">
        <v>5</v>
      </c>
      <c r="I218" s="7">
        <v>385.51</v>
      </c>
      <c r="J218" s="8">
        <v>0.15</v>
      </c>
      <c r="K218" s="7">
        <v>238.32</v>
      </c>
      <c r="L218" s="7">
        <f t="shared" si="18"/>
        <v>1927.55</v>
      </c>
      <c r="M218" s="7">
        <f t="shared" si="19"/>
        <v>289.13249999999999</v>
      </c>
      <c r="N218" s="7">
        <f t="shared" si="20"/>
        <v>1638.4175</v>
      </c>
      <c r="O218" s="7">
        <f t="shared" si="21"/>
        <v>1191.5999999999999</v>
      </c>
      <c r="P218" s="7">
        <f t="shared" si="22"/>
        <v>446.81750000000011</v>
      </c>
      <c r="Q218" s="8">
        <f t="shared" si="23"/>
        <v>0.27271284638988541</v>
      </c>
    </row>
    <row r="219" spans="1:17" ht="15" customHeight="1" x14ac:dyDescent="0.3">
      <c r="A219" t="s">
        <v>335</v>
      </c>
      <c r="B219" s="6">
        <v>45458</v>
      </c>
      <c r="C219" t="s">
        <v>93</v>
      </c>
      <c r="D219" t="s">
        <v>72</v>
      </c>
      <c r="E219" t="s">
        <v>125</v>
      </c>
      <c r="F219" t="s">
        <v>74</v>
      </c>
      <c r="G219" t="s">
        <v>114</v>
      </c>
      <c r="H219">
        <v>4</v>
      </c>
      <c r="I219" s="7">
        <v>1198.8</v>
      </c>
      <c r="J219" s="8">
        <v>0.2</v>
      </c>
      <c r="K219" s="7">
        <v>592.45000000000005</v>
      </c>
      <c r="L219" s="7">
        <f t="shared" si="18"/>
        <v>4795.2</v>
      </c>
      <c r="M219" s="7">
        <f t="shared" si="19"/>
        <v>959.04</v>
      </c>
      <c r="N219" s="7">
        <f t="shared" si="20"/>
        <v>3836.16</v>
      </c>
      <c r="O219" s="7">
        <f t="shared" si="21"/>
        <v>2369.8000000000002</v>
      </c>
      <c r="P219" s="7">
        <f t="shared" si="22"/>
        <v>1466.3599999999997</v>
      </c>
      <c r="Q219" s="8">
        <f t="shared" si="23"/>
        <v>0.38224683016349675</v>
      </c>
    </row>
    <row r="220" spans="1:17" ht="15" customHeight="1" x14ac:dyDescent="0.3">
      <c r="A220" t="s">
        <v>336</v>
      </c>
      <c r="B220" s="6">
        <v>45473</v>
      </c>
      <c r="C220" t="s">
        <v>93</v>
      </c>
      <c r="D220" t="s">
        <v>117</v>
      </c>
      <c r="E220" t="s">
        <v>140</v>
      </c>
      <c r="F220" t="s">
        <v>82</v>
      </c>
      <c r="G220" t="s">
        <v>114</v>
      </c>
      <c r="H220">
        <v>3</v>
      </c>
      <c r="I220" s="7">
        <v>148.88</v>
      </c>
      <c r="J220" s="8">
        <v>0.2</v>
      </c>
      <c r="K220" s="7">
        <v>77.569999999999993</v>
      </c>
      <c r="L220" s="7">
        <f t="shared" si="18"/>
        <v>446.64</v>
      </c>
      <c r="M220" s="7">
        <f t="shared" si="19"/>
        <v>89.328000000000003</v>
      </c>
      <c r="N220" s="7">
        <f t="shared" si="20"/>
        <v>357.31200000000001</v>
      </c>
      <c r="O220" s="7">
        <f t="shared" si="21"/>
        <v>232.70999999999998</v>
      </c>
      <c r="P220" s="7">
        <f t="shared" si="22"/>
        <v>124.60200000000003</v>
      </c>
      <c r="Q220" s="8">
        <f t="shared" si="23"/>
        <v>0.34872044599677599</v>
      </c>
    </row>
    <row r="221" spans="1:17" ht="15" customHeight="1" x14ac:dyDescent="0.3">
      <c r="A221" t="s">
        <v>337</v>
      </c>
      <c r="B221" s="6">
        <v>45444</v>
      </c>
      <c r="C221" t="s">
        <v>93</v>
      </c>
      <c r="D221" t="s">
        <v>117</v>
      </c>
      <c r="E221" t="s">
        <v>121</v>
      </c>
      <c r="F221" t="s">
        <v>82</v>
      </c>
      <c r="G221" t="s">
        <v>75</v>
      </c>
      <c r="H221">
        <v>2</v>
      </c>
      <c r="I221" s="7">
        <v>158.03</v>
      </c>
      <c r="J221" s="8">
        <v>0.15</v>
      </c>
      <c r="K221" s="7">
        <v>75.739999999999995</v>
      </c>
      <c r="L221" s="7">
        <f t="shared" si="18"/>
        <v>316.06</v>
      </c>
      <c r="M221" s="7">
        <f t="shared" si="19"/>
        <v>47.408999999999999</v>
      </c>
      <c r="N221" s="7">
        <f t="shared" si="20"/>
        <v>268.65100000000001</v>
      </c>
      <c r="O221" s="7">
        <f t="shared" si="21"/>
        <v>151.47999999999999</v>
      </c>
      <c r="P221" s="7">
        <f t="shared" si="22"/>
        <v>117.17100000000002</v>
      </c>
      <c r="Q221" s="8">
        <f t="shared" si="23"/>
        <v>0.43614578021299016</v>
      </c>
    </row>
    <row r="222" spans="1:17" ht="15" customHeight="1" x14ac:dyDescent="0.3">
      <c r="A222" t="s">
        <v>338</v>
      </c>
      <c r="B222" s="6">
        <v>45585</v>
      </c>
      <c r="C222" t="s">
        <v>71</v>
      </c>
      <c r="D222" t="s">
        <v>85</v>
      </c>
      <c r="E222" t="s">
        <v>173</v>
      </c>
      <c r="F222" t="s">
        <v>82</v>
      </c>
      <c r="G222" t="s">
        <v>94</v>
      </c>
      <c r="H222">
        <v>4</v>
      </c>
      <c r="I222" s="7">
        <v>434.45</v>
      </c>
      <c r="J222" s="8">
        <v>0.15</v>
      </c>
      <c r="K222" s="7">
        <v>262.67</v>
      </c>
      <c r="L222" s="7">
        <f t="shared" si="18"/>
        <v>1737.8</v>
      </c>
      <c r="M222" s="7">
        <f t="shared" si="19"/>
        <v>260.66999999999996</v>
      </c>
      <c r="N222" s="7">
        <f t="shared" si="20"/>
        <v>1477.13</v>
      </c>
      <c r="O222" s="7">
        <f t="shared" si="21"/>
        <v>1050.68</v>
      </c>
      <c r="P222" s="7">
        <f t="shared" si="22"/>
        <v>426.45000000000005</v>
      </c>
      <c r="Q222" s="8">
        <f t="shared" si="23"/>
        <v>0.28870173918341652</v>
      </c>
    </row>
    <row r="223" spans="1:17" ht="15" customHeight="1" x14ac:dyDescent="0.3">
      <c r="A223" t="s">
        <v>339</v>
      </c>
      <c r="B223" s="6">
        <v>45469</v>
      </c>
      <c r="C223" t="s">
        <v>77</v>
      </c>
      <c r="D223" t="s">
        <v>117</v>
      </c>
      <c r="E223" t="s">
        <v>121</v>
      </c>
      <c r="F223" t="s">
        <v>82</v>
      </c>
      <c r="G223" t="s">
        <v>94</v>
      </c>
      <c r="H223">
        <v>3</v>
      </c>
      <c r="I223" s="7">
        <v>172.7</v>
      </c>
      <c r="J223" s="8">
        <v>0.15</v>
      </c>
      <c r="K223" s="7">
        <v>78.319999999999993</v>
      </c>
      <c r="L223" s="7">
        <f t="shared" si="18"/>
        <v>518.09999999999991</v>
      </c>
      <c r="M223" s="7">
        <f t="shared" si="19"/>
        <v>77.714999999999989</v>
      </c>
      <c r="N223" s="7">
        <f t="shared" si="20"/>
        <v>440.38499999999993</v>
      </c>
      <c r="O223" s="7">
        <f t="shared" si="21"/>
        <v>234.95999999999998</v>
      </c>
      <c r="P223" s="7">
        <f t="shared" si="22"/>
        <v>205.42499999999995</v>
      </c>
      <c r="Q223" s="8">
        <f t="shared" si="23"/>
        <v>0.46646684151367551</v>
      </c>
    </row>
    <row r="224" spans="1:17" ht="15" customHeight="1" x14ac:dyDescent="0.3">
      <c r="A224" t="s">
        <v>340</v>
      </c>
      <c r="B224" s="6">
        <v>45362</v>
      </c>
      <c r="C224" t="s">
        <v>93</v>
      </c>
      <c r="D224" t="s">
        <v>80</v>
      </c>
      <c r="E224" t="s">
        <v>89</v>
      </c>
      <c r="F224" t="s">
        <v>90</v>
      </c>
      <c r="G224" t="s">
        <v>142</v>
      </c>
      <c r="H224">
        <v>5</v>
      </c>
      <c r="I224" s="7">
        <v>157.47999999999999</v>
      </c>
      <c r="J224" s="8">
        <v>0.05</v>
      </c>
      <c r="K224" s="7">
        <v>72.540000000000006</v>
      </c>
      <c r="L224" s="7">
        <f t="shared" si="18"/>
        <v>787.4</v>
      </c>
      <c r="M224" s="7">
        <f t="shared" si="19"/>
        <v>39.370000000000005</v>
      </c>
      <c r="N224" s="7">
        <f t="shared" si="20"/>
        <v>748.03</v>
      </c>
      <c r="O224" s="7">
        <f t="shared" si="21"/>
        <v>362.70000000000005</v>
      </c>
      <c r="P224" s="7">
        <f t="shared" si="22"/>
        <v>385.32999999999993</v>
      </c>
      <c r="Q224" s="8">
        <f t="shared" si="23"/>
        <v>0.51512639867384991</v>
      </c>
    </row>
    <row r="225" spans="1:17" ht="15" customHeight="1" x14ac:dyDescent="0.3">
      <c r="A225" t="s">
        <v>341</v>
      </c>
      <c r="B225" s="6">
        <v>45503</v>
      </c>
      <c r="C225" t="s">
        <v>79</v>
      </c>
      <c r="D225" t="s">
        <v>80</v>
      </c>
      <c r="E225" t="s">
        <v>159</v>
      </c>
      <c r="F225" t="s">
        <v>74</v>
      </c>
      <c r="G225" t="s">
        <v>94</v>
      </c>
      <c r="H225">
        <v>4</v>
      </c>
      <c r="I225" s="7">
        <v>192.85</v>
      </c>
      <c r="J225" s="8">
        <v>0</v>
      </c>
      <c r="K225" s="7">
        <v>109.98</v>
      </c>
      <c r="L225" s="7">
        <f t="shared" si="18"/>
        <v>771.4</v>
      </c>
      <c r="M225" s="7">
        <f t="shared" si="19"/>
        <v>0</v>
      </c>
      <c r="N225" s="7">
        <f t="shared" si="20"/>
        <v>771.4</v>
      </c>
      <c r="O225" s="7">
        <f t="shared" si="21"/>
        <v>439.92</v>
      </c>
      <c r="P225" s="7">
        <f t="shared" si="22"/>
        <v>331.47999999999996</v>
      </c>
      <c r="Q225" s="8">
        <f t="shared" si="23"/>
        <v>0.42971221156339118</v>
      </c>
    </row>
    <row r="226" spans="1:17" ht="15" customHeight="1" x14ac:dyDescent="0.3">
      <c r="A226" t="s">
        <v>342</v>
      </c>
      <c r="B226" s="6">
        <v>45626</v>
      </c>
      <c r="C226" t="s">
        <v>93</v>
      </c>
      <c r="D226" t="s">
        <v>117</v>
      </c>
      <c r="E226" t="s">
        <v>131</v>
      </c>
      <c r="F226" t="s">
        <v>74</v>
      </c>
      <c r="G226" t="s">
        <v>135</v>
      </c>
      <c r="H226">
        <v>4</v>
      </c>
      <c r="I226" s="7">
        <v>173.76</v>
      </c>
      <c r="J226" s="8">
        <v>0.15</v>
      </c>
      <c r="K226" s="7">
        <v>97.76</v>
      </c>
      <c r="L226" s="7">
        <f t="shared" si="18"/>
        <v>695.04</v>
      </c>
      <c r="M226" s="7">
        <f t="shared" si="19"/>
        <v>104.25599999999999</v>
      </c>
      <c r="N226" s="7">
        <f t="shared" si="20"/>
        <v>590.78399999999999</v>
      </c>
      <c r="O226" s="7">
        <f t="shared" si="21"/>
        <v>391.04</v>
      </c>
      <c r="P226" s="7">
        <f t="shared" si="22"/>
        <v>199.74399999999997</v>
      </c>
      <c r="Q226" s="8">
        <f t="shared" si="23"/>
        <v>0.33809988083631237</v>
      </c>
    </row>
    <row r="227" spans="1:17" ht="15" customHeight="1" x14ac:dyDescent="0.3">
      <c r="A227" t="s">
        <v>343</v>
      </c>
      <c r="B227" s="6">
        <v>45337</v>
      </c>
      <c r="C227" t="s">
        <v>71</v>
      </c>
      <c r="D227" t="s">
        <v>85</v>
      </c>
      <c r="E227" t="s">
        <v>86</v>
      </c>
      <c r="F227" t="s">
        <v>90</v>
      </c>
      <c r="G227" t="s">
        <v>110</v>
      </c>
      <c r="H227">
        <v>2</v>
      </c>
      <c r="I227" s="7">
        <v>427.64</v>
      </c>
      <c r="J227" s="8">
        <v>0.2</v>
      </c>
      <c r="K227" s="7">
        <v>250.03</v>
      </c>
      <c r="L227" s="7">
        <f t="shared" si="18"/>
        <v>855.28</v>
      </c>
      <c r="M227" s="7">
        <f t="shared" si="19"/>
        <v>171.05600000000001</v>
      </c>
      <c r="N227" s="7">
        <f t="shared" si="20"/>
        <v>684.22399999999993</v>
      </c>
      <c r="O227" s="7">
        <f t="shared" si="21"/>
        <v>500.06</v>
      </c>
      <c r="P227" s="7">
        <f t="shared" si="22"/>
        <v>184.16399999999993</v>
      </c>
      <c r="Q227" s="8">
        <f t="shared" si="23"/>
        <v>0.26915746889907394</v>
      </c>
    </row>
    <row r="228" spans="1:17" ht="15" customHeight="1" x14ac:dyDescent="0.3">
      <c r="A228" t="s">
        <v>344</v>
      </c>
      <c r="B228" s="6">
        <v>45495</v>
      </c>
      <c r="C228" t="s">
        <v>102</v>
      </c>
      <c r="D228" t="s">
        <v>72</v>
      </c>
      <c r="E228" t="s">
        <v>125</v>
      </c>
      <c r="F228" t="s">
        <v>74</v>
      </c>
      <c r="G228" t="s">
        <v>110</v>
      </c>
      <c r="H228">
        <v>2</v>
      </c>
      <c r="I228" s="7">
        <v>1064.29</v>
      </c>
      <c r="J228" s="8">
        <v>0.1</v>
      </c>
      <c r="K228" s="7">
        <v>658.99</v>
      </c>
      <c r="L228" s="7">
        <f t="shared" si="18"/>
        <v>2128.58</v>
      </c>
      <c r="M228" s="7">
        <f t="shared" si="19"/>
        <v>212.858</v>
      </c>
      <c r="N228" s="7">
        <f t="shared" si="20"/>
        <v>1915.722</v>
      </c>
      <c r="O228" s="7">
        <f t="shared" si="21"/>
        <v>1317.98</v>
      </c>
      <c r="P228" s="7">
        <f t="shared" si="22"/>
        <v>597.74199999999996</v>
      </c>
      <c r="Q228" s="8">
        <f t="shared" si="23"/>
        <v>0.31201917605999197</v>
      </c>
    </row>
    <row r="229" spans="1:17" ht="15" customHeight="1" x14ac:dyDescent="0.3">
      <c r="A229" t="s">
        <v>345</v>
      </c>
      <c r="B229" s="6">
        <v>45463</v>
      </c>
      <c r="C229" t="s">
        <v>93</v>
      </c>
      <c r="D229" t="s">
        <v>72</v>
      </c>
      <c r="E229" t="s">
        <v>123</v>
      </c>
      <c r="F229" t="s">
        <v>90</v>
      </c>
      <c r="G229" t="s">
        <v>94</v>
      </c>
      <c r="H229">
        <v>5</v>
      </c>
      <c r="I229" s="7">
        <v>742.12</v>
      </c>
      <c r="J229" s="8">
        <v>0.2</v>
      </c>
      <c r="K229" s="7">
        <v>388.48</v>
      </c>
      <c r="L229" s="7">
        <f t="shared" si="18"/>
        <v>3710.6</v>
      </c>
      <c r="M229" s="7">
        <f t="shared" si="19"/>
        <v>742.12</v>
      </c>
      <c r="N229" s="7">
        <f t="shared" si="20"/>
        <v>2968.48</v>
      </c>
      <c r="O229" s="7">
        <f t="shared" si="21"/>
        <v>1942.4</v>
      </c>
      <c r="P229" s="7">
        <f t="shared" si="22"/>
        <v>1026.08</v>
      </c>
      <c r="Q229" s="8">
        <f t="shared" si="23"/>
        <v>0.3456583840888266</v>
      </c>
    </row>
    <row r="230" spans="1:17" ht="15" customHeight="1" x14ac:dyDescent="0.3">
      <c r="A230" t="s">
        <v>346</v>
      </c>
      <c r="B230" s="6">
        <v>45349</v>
      </c>
      <c r="C230" t="s">
        <v>102</v>
      </c>
      <c r="D230" t="s">
        <v>117</v>
      </c>
      <c r="E230" t="s">
        <v>118</v>
      </c>
      <c r="F230" t="s">
        <v>82</v>
      </c>
      <c r="G230" t="s">
        <v>75</v>
      </c>
      <c r="H230">
        <v>4</v>
      </c>
      <c r="I230" s="7">
        <v>115.75</v>
      </c>
      <c r="J230" s="8">
        <v>0.1</v>
      </c>
      <c r="K230" s="7">
        <v>67.09</v>
      </c>
      <c r="L230" s="7">
        <f t="shared" si="18"/>
        <v>463</v>
      </c>
      <c r="M230" s="7">
        <f t="shared" si="19"/>
        <v>46.300000000000004</v>
      </c>
      <c r="N230" s="7">
        <f t="shared" si="20"/>
        <v>416.7</v>
      </c>
      <c r="O230" s="7">
        <f t="shared" si="21"/>
        <v>268.36</v>
      </c>
      <c r="P230" s="7">
        <f t="shared" si="22"/>
        <v>148.33999999999997</v>
      </c>
      <c r="Q230" s="8">
        <f t="shared" si="23"/>
        <v>0.35598752099832009</v>
      </c>
    </row>
    <row r="231" spans="1:17" ht="15" customHeight="1" x14ac:dyDescent="0.3">
      <c r="A231" t="s">
        <v>347</v>
      </c>
      <c r="B231" s="6">
        <v>45381</v>
      </c>
      <c r="C231" t="s">
        <v>71</v>
      </c>
      <c r="D231" t="s">
        <v>72</v>
      </c>
      <c r="E231" t="s">
        <v>123</v>
      </c>
      <c r="F231" t="s">
        <v>90</v>
      </c>
      <c r="G231" t="s">
        <v>75</v>
      </c>
      <c r="H231">
        <v>4</v>
      </c>
      <c r="I231" s="7">
        <v>951.01</v>
      </c>
      <c r="J231" s="8">
        <v>0.15</v>
      </c>
      <c r="K231" s="7">
        <v>502.91</v>
      </c>
      <c r="L231" s="7">
        <f t="shared" si="18"/>
        <v>3804.04</v>
      </c>
      <c r="M231" s="7">
        <f t="shared" si="19"/>
        <v>570.60599999999999</v>
      </c>
      <c r="N231" s="7">
        <f t="shared" si="20"/>
        <v>3233.4340000000002</v>
      </c>
      <c r="O231" s="7">
        <f t="shared" si="21"/>
        <v>2011.64</v>
      </c>
      <c r="P231" s="7">
        <f t="shared" si="22"/>
        <v>1221.7940000000001</v>
      </c>
      <c r="Q231" s="8">
        <f t="shared" si="23"/>
        <v>0.37786266860557538</v>
      </c>
    </row>
    <row r="232" spans="1:17" ht="15" customHeight="1" x14ac:dyDescent="0.3">
      <c r="A232" t="s">
        <v>348</v>
      </c>
      <c r="B232" s="6">
        <v>45536</v>
      </c>
      <c r="C232" t="s">
        <v>77</v>
      </c>
      <c r="D232" t="s">
        <v>72</v>
      </c>
      <c r="E232" t="s">
        <v>96</v>
      </c>
      <c r="F232" t="s">
        <v>74</v>
      </c>
      <c r="G232" t="s">
        <v>106</v>
      </c>
      <c r="H232">
        <v>2</v>
      </c>
      <c r="I232" s="7">
        <v>767.11</v>
      </c>
      <c r="J232" s="8">
        <v>0</v>
      </c>
      <c r="K232" s="7">
        <v>356.86</v>
      </c>
      <c r="L232" s="7">
        <f t="shared" si="18"/>
        <v>1534.22</v>
      </c>
      <c r="M232" s="7">
        <f t="shared" si="19"/>
        <v>0</v>
      </c>
      <c r="N232" s="7">
        <f t="shared" si="20"/>
        <v>1534.22</v>
      </c>
      <c r="O232" s="7">
        <f t="shared" si="21"/>
        <v>713.72</v>
      </c>
      <c r="P232" s="7">
        <f t="shared" si="22"/>
        <v>820.5</v>
      </c>
      <c r="Q232" s="8">
        <f t="shared" si="23"/>
        <v>0.53479944206176433</v>
      </c>
    </row>
    <row r="233" spans="1:17" ht="15" customHeight="1" x14ac:dyDescent="0.3">
      <c r="A233" t="s">
        <v>349</v>
      </c>
      <c r="B233" s="6">
        <v>45590</v>
      </c>
      <c r="C233" t="s">
        <v>71</v>
      </c>
      <c r="D233" t="s">
        <v>117</v>
      </c>
      <c r="E233" t="s">
        <v>140</v>
      </c>
      <c r="F233" t="s">
        <v>82</v>
      </c>
      <c r="G233" t="s">
        <v>142</v>
      </c>
      <c r="H233">
        <v>1</v>
      </c>
      <c r="I233" s="7">
        <v>153.4</v>
      </c>
      <c r="J233" s="8">
        <v>0.1</v>
      </c>
      <c r="K233" s="7">
        <v>86.43</v>
      </c>
      <c r="L233" s="7">
        <f t="shared" si="18"/>
        <v>153.4</v>
      </c>
      <c r="M233" s="7">
        <f t="shared" si="19"/>
        <v>15.340000000000002</v>
      </c>
      <c r="N233" s="7">
        <f t="shared" si="20"/>
        <v>138.06</v>
      </c>
      <c r="O233" s="7">
        <f t="shared" si="21"/>
        <v>86.43</v>
      </c>
      <c r="P233" s="7">
        <f t="shared" si="22"/>
        <v>51.629999999999995</v>
      </c>
      <c r="Q233" s="8">
        <f t="shared" si="23"/>
        <v>0.37396784006953493</v>
      </c>
    </row>
    <row r="234" spans="1:17" ht="15" customHeight="1" x14ac:dyDescent="0.3">
      <c r="A234" t="s">
        <v>350</v>
      </c>
      <c r="B234" s="6">
        <v>45373</v>
      </c>
      <c r="C234" t="s">
        <v>77</v>
      </c>
      <c r="D234" t="s">
        <v>117</v>
      </c>
      <c r="E234" t="s">
        <v>131</v>
      </c>
      <c r="F234" t="s">
        <v>82</v>
      </c>
      <c r="G234" t="s">
        <v>142</v>
      </c>
      <c r="H234">
        <v>5</v>
      </c>
      <c r="I234" s="7">
        <v>122.92</v>
      </c>
      <c r="J234" s="8">
        <v>0.1</v>
      </c>
      <c r="K234" s="7">
        <v>70.38</v>
      </c>
      <c r="L234" s="7">
        <f t="shared" si="18"/>
        <v>614.6</v>
      </c>
      <c r="M234" s="7">
        <f t="shared" si="19"/>
        <v>61.460000000000008</v>
      </c>
      <c r="N234" s="7">
        <f t="shared" si="20"/>
        <v>553.14</v>
      </c>
      <c r="O234" s="7">
        <f t="shared" si="21"/>
        <v>351.9</v>
      </c>
      <c r="P234" s="7">
        <f t="shared" si="22"/>
        <v>201.24</v>
      </c>
      <c r="Q234" s="8">
        <f t="shared" si="23"/>
        <v>0.36381386267491056</v>
      </c>
    </row>
    <row r="235" spans="1:17" ht="15" customHeight="1" x14ac:dyDescent="0.3">
      <c r="A235" t="s">
        <v>351</v>
      </c>
      <c r="B235" s="6">
        <v>45360</v>
      </c>
      <c r="C235" t="s">
        <v>93</v>
      </c>
      <c r="D235" t="s">
        <v>85</v>
      </c>
      <c r="E235" t="s">
        <v>86</v>
      </c>
      <c r="F235" t="s">
        <v>74</v>
      </c>
      <c r="G235" t="s">
        <v>75</v>
      </c>
      <c r="H235">
        <v>4</v>
      </c>
      <c r="I235" s="7">
        <v>378.89</v>
      </c>
      <c r="J235" s="8">
        <v>0.2</v>
      </c>
      <c r="K235" s="7">
        <v>186.95</v>
      </c>
      <c r="L235" s="7">
        <f t="shared" si="18"/>
        <v>1515.56</v>
      </c>
      <c r="M235" s="7">
        <f t="shared" si="19"/>
        <v>303.11200000000002</v>
      </c>
      <c r="N235" s="7">
        <f t="shared" si="20"/>
        <v>1212.4479999999999</v>
      </c>
      <c r="O235" s="7">
        <f t="shared" si="21"/>
        <v>747.8</v>
      </c>
      <c r="P235" s="7">
        <f t="shared" si="22"/>
        <v>464.64799999999991</v>
      </c>
      <c r="Q235" s="8">
        <f t="shared" si="23"/>
        <v>0.38323128084668373</v>
      </c>
    </row>
    <row r="236" spans="1:17" ht="15" customHeight="1" x14ac:dyDescent="0.3">
      <c r="A236" t="s">
        <v>352</v>
      </c>
      <c r="B236" s="6">
        <v>45418</v>
      </c>
      <c r="C236" t="s">
        <v>93</v>
      </c>
      <c r="D236" t="s">
        <v>80</v>
      </c>
      <c r="E236" t="s">
        <v>81</v>
      </c>
      <c r="F236" t="s">
        <v>90</v>
      </c>
      <c r="G236" t="s">
        <v>75</v>
      </c>
      <c r="H236">
        <v>5</v>
      </c>
      <c r="I236" s="7">
        <v>248.85</v>
      </c>
      <c r="J236" s="8">
        <v>0</v>
      </c>
      <c r="K236" s="7">
        <v>132.22999999999999</v>
      </c>
      <c r="L236" s="7">
        <f t="shared" si="18"/>
        <v>1244.25</v>
      </c>
      <c r="M236" s="7">
        <f t="shared" si="19"/>
        <v>0</v>
      </c>
      <c r="N236" s="7">
        <f t="shared" si="20"/>
        <v>1244.25</v>
      </c>
      <c r="O236" s="7">
        <f t="shared" si="21"/>
        <v>661.15</v>
      </c>
      <c r="P236" s="7">
        <f t="shared" si="22"/>
        <v>583.1</v>
      </c>
      <c r="Q236" s="8">
        <f t="shared" si="23"/>
        <v>0.46863572433192691</v>
      </c>
    </row>
    <row r="237" spans="1:17" ht="15" customHeight="1" x14ac:dyDescent="0.3">
      <c r="A237" t="s">
        <v>353</v>
      </c>
      <c r="B237" s="6">
        <v>45323</v>
      </c>
      <c r="C237" t="s">
        <v>77</v>
      </c>
      <c r="D237" t="s">
        <v>80</v>
      </c>
      <c r="E237" t="s">
        <v>89</v>
      </c>
      <c r="F237" t="s">
        <v>90</v>
      </c>
      <c r="G237" t="s">
        <v>94</v>
      </c>
      <c r="H237">
        <v>5</v>
      </c>
      <c r="I237" s="7">
        <v>272.60000000000002</v>
      </c>
      <c r="J237" s="8">
        <v>0.05</v>
      </c>
      <c r="K237" s="7">
        <v>148.07</v>
      </c>
      <c r="L237" s="7">
        <f t="shared" si="18"/>
        <v>1363</v>
      </c>
      <c r="M237" s="7">
        <f t="shared" si="19"/>
        <v>68.150000000000006</v>
      </c>
      <c r="N237" s="7">
        <f t="shared" si="20"/>
        <v>1294.8499999999999</v>
      </c>
      <c r="O237" s="7">
        <f t="shared" si="21"/>
        <v>740.34999999999991</v>
      </c>
      <c r="P237" s="7">
        <f t="shared" si="22"/>
        <v>554.5</v>
      </c>
      <c r="Q237" s="8">
        <f t="shared" si="23"/>
        <v>0.42823493068695218</v>
      </c>
    </row>
    <row r="238" spans="1:17" ht="15" customHeight="1" x14ac:dyDescent="0.3">
      <c r="A238" t="s">
        <v>354</v>
      </c>
      <c r="B238" s="6">
        <v>45351</v>
      </c>
      <c r="C238" t="s">
        <v>71</v>
      </c>
      <c r="D238" t="s">
        <v>117</v>
      </c>
      <c r="E238" t="s">
        <v>133</v>
      </c>
      <c r="F238" t="s">
        <v>90</v>
      </c>
      <c r="G238" t="s">
        <v>91</v>
      </c>
      <c r="H238">
        <v>5</v>
      </c>
      <c r="I238" s="7">
        <v>149.31</v>
      </c>
      <c r="J238" s="8">
        <v>0.15</v>
      </c>
      <c r="K238" s="7">
        <v>63.12</v>
      </c>
      <c r="L238" s="7">
        <f t="shared" si="18"/>
        <v>746.55</v>
      </c>
      <c r="M238" s="7">
        <f t="shared" si="19"/>
        <v>111.98249999999999</v>
      </c>
      <c r="N238" s="7">
        <f t="shared" si="20"/>
        <v>634.5675</v>
      </c>
      <c r="O238" s="7">
        <f t="shared" si="21"/>
        <v>315.59999999999997</v>
      </c>
      <c r="P238" s="7">
        <f t="shared" si="22"/>
        <v>318.96750000000003</v>
      </c>
      <c r="Q238" s="8">
        <f t="shared" si="23"/>
        <v>0.50265338202791665</v>
      </c>
    </row>
    <row r="239" spans="1:17" ht="15" customHeight="1" x14ac:dyDescent="0.3">
      <c r="A239" t="s">
        <v>355</v>
      </c>
      <c r="B239" s="6">
        <v>45554</v>
      </c>
      <c r="C239" t="s">
        <v>77</v>
      </c>
      <c r="D239" t="s">
        <v>80</v>
      </c>
      <c r="E239" t="s">
        <v>81</v>
      </c>
      <c r="F239" t="s">
        <v>82</v>
      </c>
      <c r="G239" t="s">
        <v>106</v>
      </c>
      <c r="H239">
        <v>5</v>
      </c>
      <c r="I239" s="7">
        <v>206.47</v>
      </c>
      <c r="J239" s="8">
        <v>0</v>
      </c>
      <c r="K239" s="7">
        <v>111.43</v>
      </c>
      <c r="L239" s="7">
        <f t="shared" si="18"/>
        <v>1032.3499999999999</v>
      </c>
      <c r="M239" s="7">
        <f t="shared" si="19"/>
        <v>0</v>
      </c>
      <c r="N239" s="7">
        <f t="shared" si="20"/>
        <v>1032.3499999999999</v>
      </c>
      <c r="O239" s="7">
        <f t="shared" si="21"/>
        <v>557.15000000000009</v>
      </c>
      <c r="P239" s="7">
        <f t="shared" si="22"/>
        <v>475.19999999999982</v>
      </c>
      <c r="Q239" s="8">
        <f t="shared" si="23"/>
        <v>0.46030900372935524</v>
      </c>
    </row>
    <row r="240" spans="1:17" ht="15" customHeight="1" x14ac:dyDescent="0.3">
      <c r="A240" t="s">
        <v>356</v>
      </c>
      <c r="B240" s="6">
        <v>45403</v>
      </c>
      <c r="C240" t="s">
        <v>102</v>
      </c>
      <c r="D240" t="s">
        <v>85</v>
      </c>
      <c r="E240" t="s">
        <v>100</v>
      </c>
      <c r="F240" t="s">
        <v>82</v>
      </c>
      <c r="G240" t="s">
        <v>110</v>
      </c>
      <c r="H240">
        <v>1</v>
      </c>
      <c r="I240" s="7">
        <v>406.93</v>
      </c>
      <c r="J240" s="8">
        <v>0.15</v>
      </c>
      <c r="K240" s="7">
        <v>197.82</v>
      </c>
      <c r="L240" s="7">
        <f t="shared" si="18"/>
        <v>406.93</v>
      </c>
      <c r="M240" s="7">
        <f t="shared" si="19"/>
        <v>61.039499999999997</v>
      </c>
      <c r="N240" s="7">
        <f t="shared" si="20"/>
        <v>345.89050000000003</v>
      </c>
      <c r="O240" s="7">
        <f t="shared" si="21"/>
        <v>197.82</v>
      </c>
      <c r="P240" s="7">
        <f t="shared" si="22"/>
        <v>148.07050000000004</v>
      </c>
      <c r="Q240" s="8">
        <f t="shared" si="23"/>
        <v>0.42808489970091695</v>
      </c>
    </row>
    <row r="241" spans="1:17" ht="15" customHeight="1" x14ac:dyDescent="0.3">
      <c r="A241" t="s">
        <v>357</v>
      </c>
      <c r="B241" s="6">
        <v>45308</v>
      </c>
      <c r="C241" t="s">
        <v>77</v>
      </c>
      <c r="D241" t="s">
        <v>72</v>
      </c>
      <c r="E241" t="s">
        <v>98</v>
      </c>
      <c r="F241" t="s">
        <v>74</v>
      </c>
      <c r="G241" t="s">
        <v>91</v>
      </c>
      <c r="H241">
        <v>2</v>
      </c>
      <c r="I241" s="7">
        <v>743.74</v>
      </c>
      <c r="J241" s="8">
        <v>0.05</v>
      </c>
      <c r="K241" s="7">
        <v>439.89</v>
      </c>
      <c r="L241" s="7">
        <f t="shared" si="18"/>
        <v>1487.48</v>
      </c>
      <c r="M241" s="7">
        <f t="shared" si="19"/>
        <v>74.374000000000009</v>
      </c>
      <c r="N241" s="7">
        <f t="shared" si="20"/>
        <v>1413.106</v>
      </c>
      <c r="O241" s="7">
        <f t="shared" si="21"/>
        <v>879.78</v>
      </c>
      <c r="P241" s="7">
        <f t="shared" si="22"/>
        <v>533.32600000000002</v>
      </c>
      <c r="Q241" s="8">
        <f t="shared" si="23"/>
        <v>0.37741400857402063</v>
      </c>
    </row>
    <row r="242" spans="1:17" ht="15" customHeight="1" x14ac:dyDescent="0.3">
      <c r="A242" t="s">
        <v>358</v>
      </c>
      <c r="B242" s="6">
        <v>45484</v>
      </c>
      <c r="C242" t="s">
        <v>102</v>
      </c>
      <c r="D242" t="s">
        <v>108</v>
      </c>
      <c r="E242" t="s">
        <v>128</v>
      </c>
      <c r="F242" t="s">
        <v>82</v>
      </c>
      <c r="G242" t="s">
        <v>135</v>
      </c>
      <c r="H242">
        <v>18</v>
      </c>
      <c r="I242" s="7">
        <v>19.100000000000001</v>
      </c>
      <c r="J242" s="8">
        <v>0.05</v>
      </c>
      <c r="K242" s="7">
        <v>10.76</v>
      </c>
      <c r="L242" s="7">
        <f t="shared" si="18"/>
        <v>343.8</v>
      </c>
      <c r="M242" s="7">
        <f t="shared" si="19"/>
        <v>17.190000000000001</v>
      </c>
      <c r="N242" s="7">
        <f t="shared" si="20"/>
        <v>326.61</v>
      </c>
      <c r="O242" s="7">
        <f t="shared" si="21"/>
        <v>193.68</v>
      </c>
      <c r="P242" s="7">
        <f t="shared" si="22"/>
        <v>132.93</v>
      </c>
      <c r="Q242" s="8">
        <f t="shared" si="23"/>
        <v>0.40699917332598512</v>
      </c>
    </row>
    <row r="243" spans="1:17" ht="15" customHeight="1" x14ac:dyDescent="0.3">
      <c r="A243" t="s">
        <v>359</v>
      </c>
      <c r="B243" s="6">
        <v>45562</v>
      </c>
      <c r="C243" t="s">
        <v>79</v>
      </c>
      <c r="D243" t="s">
        <v>85</v>
      </c>
      <c r="E243" t="s">
        <v>100</v>
      </c>
      <c r="F243" t="s">
        <v>90</v>
      </c>
      <c r="G243" t="s">
        <v>135</v>
      </c>
      <c r="H243">
        <v>2</v>
      </c>
      <c r="I243" s="7">
        <v>280.66000000000003</v>
      </c>
      <c r="J243" s="8">
        <v>0</v>
      </c>
      <c r="K243" s="7">
        <v>165.32</v>
      </c>
      <c r="L243" s="7">
        <f t="shared" si="18"/>
        <v>561.32000000000005</v>
      </c>
      <c r="M243" s="7">
        <f t="shared" si="19"/>
        <v>0</v>
      </c>
      <c r="N243" s="7">
        <f t="shared" si="20"/>
        <v>561.32000000000005</v>
      </c>
      <c r="O243" s="7">
        <f t="shared" si="21"/>
        <v>330.64</v>
      </c>
      <c r="P243" s="7">
        <f t="shared" si="22"/>
        <v>230.68000000000006</v>
      </c>
      <c r="Q243" s="8">
        <f t="shared" si="23"/>
        <v>0.41095988028219205</v>
      </c>
    </row>
    <row r="244" spans="1:17" ht="15" customHeight="1" x14ac:dyDescent="0.3">
      <c r="A244" t="s">
        <v>360</v>
      </c>
      <c r="B244" s="6">
        <v>45486</v>
      </c>
      <c r="C244" t="s">
        <v>93</v>
      </c>
      <c r="D244" t="s">
        <v>85</v>
      </c>
      <c r="E244" t="s">
        <v>187</v>
      </c>
      <c r="F244" t="s">
        <v>82</v>
      </c>
      <c r="G244" t="s">
        <v>114</v>
      </c>
      <c r="H244">
        <v>2</v>
      </c>
      <c r="I244" s="7">
        <v>475.54</v>
      </c>
      <c r="J244" s="8">
        <v>0.15</v>
      </c>
      <c r="K244" s="7">
        <v>231.37</v>
      </c>
      <c r="L244" s="7">
        <f t="shared" si="18"/>
        <v>951.08</v>
      </c>
      <c r="M244" s="7">
        <f t="shared" si="19"/>
        <v>142.66200000000001</v>
      </c>
      <c r="N244" s="7">
        <f t="shared" si="20"/>
        <v>808.41800000000001</v>
      </c>
      <c r="O244" s="7">
        <f t="shared" si="21"/>
        <v>462.74</v>
      </c>
      <c r="P244" s="7">
        <f t="shared" si="22"/>
        <v>345.678</v>
      </c>
      <c r="Q244" s="8">
        <f t="shared" si="23"/>
        <v>0.42759809900323842</v>
      </c>
    </row>
    <row r="245" spans="1:17" ht="15" customHeight="1" x14ac:dyDescent="0.3">
      <c r="A245" t="s">
        <v>361</v>
      </c>
      <c r="B245" s="6">
        <v>45606</v>
      </c>
      <c r="C245" t="s">
        <v>77</v>
      </c>
      <c r="D245" t="s">
        <v>85</v>
      </c>
      <c r="E245" t="s">
        <v>103</v>
      </c>
      <c r="F245" t="s">
        <v>74</v>
      </c>
      <c r="G245" t="s">
        <v>135</v>
      </c>
      <c r="H245">
        <v>1</v>
      </c>
      <c r="I245" s="7">
        <v>459.49</v>
      </c>
      <c r="J245" s="8">
        <v>0.05</v>
      </c>
      <c r="K245" s="7">
        <v>207.47</v>
      </c>
      <c r="L245" s="7">
        <f t="shared" si="18"/>
        <v>459.49</v>
      </c>
      <c r="M245" s="7">
        <f t="shared" si="19"/>
        <v>22.974500000000003</v>
      </c>
      <c r="N245" s="7">
        <f t="shared" si="20"/>
        <v>436.51550000000003</v>
      </c>
      <c r="O245" s="7">
        <f t="shared" si="21"/>
        <v>207.47</v>
      </c>
      <c r="P245" s="7">
        <f t="shared" si="22"/>
        <v>229.04550000000003</v>
      </c>
      <c r="Q245" s="8">
        <f t="shared" si="23"/>
        <v>0.52471332633090928</v>
      </c>
    </row>
    <row r="246" spans="1:17" ht="15" customHeight="1" x14ac:dyDescent="0.3">
      <c r="A246" t="s">
        <v>362</v>
      </c>
      <c r="B246" s="6">
        <v>45636</v>
      </c>
      <c r="C246" t="s">
        <v>77</v>
      </c>
      <c r="D246" t="s">
        <v>72</v>
      </c>
      <c r="E246" t="s">
        <v>98</v>
      </c>
      <c r="F246" t="s">
        <v>82</v>
      </c>
      <c r="G246" t="s">
        <v>83</v>
      </c>
      <c r="H246">
        <v>1</v>
      </c>
      <c r="I246" s="7">
        <v>1010.1</v>
      </c>
      <c r="J246" s="8">
        <v>0.05</v>
      </c>
      <c r="K246" s="7">
        <v>591.04999999999995</v>
      </c>
      <c r="L246" s="7">
        <f t="shared" si="18"/>
        <v>1010.1</v>
      </c>
      <c r="M246" s="7">
        <f t="shared" si="19"/>
        <v>50.505000000000003</v>
      </c>
      <c r="N246" s="7">
        <f t="shared" si="20"/>
        <v>959.59500000000003</v>
      </c>
      <c r="O246" s="7">
        <f t="shared" si="21"/>
        <v>591.04999999999995</v>
      </c>
      <c r="P246" s="7">
        <f t="shared" si="22"/>
        <v>368.54500000000007</v>
      </c>
      <c r="Q246" s="8">
        <f t="shared" si="23"/>
        <v>0.38406306827359465</v>
      </c>
    </row>
    <row r="247" spans="1:17" ht="15" customHeight="1" x14ac:dyDescent="0.3">
      <c r="A247" t="s">
        <v>363</v>
      </c>
      <c r="B247" s="6">
        <v>45320</v>
      </c>
      <c r="C247" t="s">
        <v>79</v>
      </c>
      <c r="D247" t="s">
        <v>108</v>
      </c>
      <c r="E247" t="s">
        <v>162</v>
      </c>
      <c r="F247" t="s">
        <v>90</v>
      </c>
      <c r="G247" t="s">
        <v>75</v>
      </c>
      <c r="H247">
        <v>10</v>
      </c>
      <c r="I247" s="7">
        <v>20.3</v>
      </c>
      <c r="J247" s="8">
        <v>0.05</v>
      </c>
      <c r="K247" s="7">
        <v>12.26</v>
      </c>
      <c r="L247" s="7">
        <f t="shared" si="18"/>
        <v>203</v>
      </c>
      <c r="M247" s="7">
        <f t="shared" si="19"/>
        <v>10.15</v>
      </c>
      <c r="N247" s="7">
        <f t="shared" si="20"/>
        <v>192.85</v>
      </c>
      <c r="O247" s="7">
        <f t="shared" si="21"/>
        <v>122.6</v>
      </c>
      <c r="P247" s="7">
        <f t="shared" si="22"/>
        <v>70.25</v>
      </c>
      <c r="Q247" s="8">
        <f t="shared" si="23"/>
        <v>0.36427275084262384</v>
      </c>
    </row>
    <row r="248" spans="1:17" ht="15" customHeight="1" x14ac:dyDescent="0.3">
      <c r="A248" t="s">
        <v>364</v>
      </c>
      <c r="B248" s="6">
        <v>45413</v>
      </c>
      <c r="C248" t="s">
        <v>93</v>
      </c>
      <c r="D248" t="s">
        <v>80</v>
      </c>
      <c r="E248" t="s">
        <v>89</v>
      </c>
      <c r="F248" t="s">
        <v>90</v>
      </c>
      <c r="G248" t="s">
        <v>87</v>
      </c>
      <c r="H248">
        <v>2</v>
      </c>
      <c r="I248" s="7">
        <v>188.28</v>
      </c>
      <c r="J248" s="8">
        <v>0.2</v>
      </c>
      <c r="K248" s="7">
        <v>85.72</v>
      </c>
      <c r="L248" s="7">
        <f t="shared" si="18"/>
        <v>376.56</v>
      </c>
      <c r="M248" s="7">
        <f t="shared" si="19"/>
        <v>75.311999999999998</v>
      </c>
      <c r="N248" s="7">
        <f t="shared" si="20"/>
        <v>301.24799999999999</v>
      </c>
      <c r="O248" s="7">
        <f t="shared" si="21"/>
        <v>171.44</v>
      </c>
      <c r="P248" s="7">
        <f t="shared" si="22"/>
        <v>129.80799999999999</v>
      </c>
      <c r="Q248" s="8">
        <f t="shared" si="23"/>
        <v>0.43090078606330995</v>
      </c>
    </row>
    <row r="249" spans="1:17" ht="15" customHeight="1" x14ac:dyDescent="0.3">
      <c r="A249" t="s">
        <v>365</v>
      </c>
      <c r="B249" s="6">
        <v>45381</v>
      </c>
      <c r="C249" t="s">
        <v>77</v>
      </c>
      <c r="D249" t="s">
        <v>85</v>
      </c>
      <c r="E249" t="s">
        <v>86</v>
      </c>
      <c r="F249" t="s">
        <v>90</v>
      </c>
      <c r="G249" t="s">
        <v>83</v>
      </c>
      <c r="H249">
        <v>4</v>
      </c>
      <c r="I249" s="7">
        <v>420.28</v>
      </c>
      <c r="J249" s="8">
        <v>0.2</v>
      </c>
      <c r="K249" s="7">
        <v>220.19</v>
      </c>
      <c r="L249" s="7">
        <f t="shared" si="18"/>
        <v>1681.12</v>
      </c>
      <c r="M249" s="7">
        <f t="shared" si="19"/>
        <v>336.22399999999999</v>
      </c>
      <c r="N249" s="7">
        <f t="shared" si="20"/>
        <v>1344.896</v>
      </c>
      <c r="O249" s="7">
        <f t="shared" si="21"/>
        <v>880.76</v>
      </c>
      <c r="P249" s="7">
        <f t="shared" si="22"/>
        <v>464.13599999999997</v>
      </c>
      <c r="Q249" s="8">
        <f t="shared" si="23"/>
        <v>0.34510921290568192</v>
      </c>
    </row>
    <row r="250" spans="1:17" ht="15" customHeight="1" x14ac:dyDescent="0.3">
      <c r="A250" t="s">
        <v>366</v>
      </c>
      <c r="B250" s="6">
        <v>45501</v>
      </c>
      <c r="C250" t="s">
        <v>93</v>
      </c>
      <c r="D250" t="s">
        <v>85</v>
      </c>
      <c r="E250" t="s">
        <v>187</v>
      </c>
      <c r="F250" t="s">
        <v>82</v>
      </c>
      <c r="G250" t="s">
        <v>135</v>
      </c>
      <c r="H250">
        <v>4</v>
      </c>
      <c r="I250" s="7">
        <v>286.77999999999997</v>
      </c>
      <c r="J250" s="8">
        <v>0.05</v>
      </c>
      <c r="K250" s="7">
        <v>168.8</v>
      </c>
      <c r="L250" s="7">
        <f t="shared" si="18"/>
        <v>1147.1199999999999</v>
      </c>
      <c r="M250" s="7">
        <f t="shared" si="19"/>
        <v>57.355999999999995</v>
      </c>
      <c r="N250" s="7">
        <f t="shared" si="20"/>
        <v>1089.7639999999999</v>
      </c>
      <c r="O250" s="7">
        <f t="shared" si="21"/>
        <v>675.2</v>
      </c>
      <c r="P250" s="7">
        <f t="shared" si="22"/>
        <v>414.56399999999985</v>
      </c>
      <c r="Q250" s="8">
        <f t="shared" si="23"/>
        <v>0.38041631032039952</v>
      </c>
    </row>
    <row r="251" spans="1:17" ht="15" customHeight="1" x14ac:dyDescent="0.3">
      <c r="A251" t="s">
        <v>367</v>
      </c>
      <c r="B251" s="6">
        <v>45529</v>
      </c>
      <c r="C251" t="s">
        <v>79</v>
      </c>
      <c r="D251" t="s">
        <v>108</v>
      </c>
      <c r="E251" t="s">
        <v>177</v>
      </c>
      <c r="F251" t="s">
        <v>82</v>
      </c>
      <c r="G251" t="s">
        <v>106</v>
      </c>
      <c r="H251">
        <v>18</v>
      </c>
      <c r="I251" s="7">
        <v>35.79</v>
      </c>
      <c r="J251" s="8">
        <v>0.15</v>
      </c>
      <c r="K251" s="7">
        <v>22.98</v>
      </c>
      <c r="L251" s="7">
        <f t="shared" si="18"/>
        <v>644.22</v>
      </c>
      <c r="M251" s="7">
        <f t="shared" si="19"/>
        <v>96.632999999999996</v>
      </c>
      <c r="N251" s="7">
        <f t="shared" si="20"/>
        <v>547.58699999999999</v>
      </c>
      <c r="O251" s="7">
        <f t="shared" si="21"/>
        <v>413.64</v>
      </c>
      <c r="P251" s="7">
        <f t="shared" si="22"/>
        <v>133.947</v>
      </c>
      <c r="Q251" s="8">
        <f t="shared" si="23"/>
        <v>0.24461318475420346</v>
      </c>
    </row>
    <row r="252" spans="1:17" ht="15" customHeight="1" x14ac:dyDescent="0.3">
      <c r="A252" t="s">
        <v>368</v>
      </c>
      <c r="B252" s="6">
        <v>45422</v>
      </c>
      <c r="C252" t="s">
        <v>79</v>
      </c>
      <c r="D252" t="s">
        <v>80</v>
      </c>
      <c r="E252" t="s">
        <v>138</v>
      </c>
      <c r="F252" t="s">
        <v>82</v>
      </c>
      <c r="G252" t="s">
        <v>75</v>
      </c>
      <c r="H252">
        <v>1</v>
      </c>
      <c r="I252" s="7">
        <v>172.53</v>
      </c>
      <c r="J252" s="8">
        <v>0.15</v>
      </c>
      <c r="K252" s="7">
        <v>105.55</v>
      </c>
      <c r="L252" s="7">
        <f t="shared" si="18"/>
        <v>172.53</v>
      </c>
      <c r="M252" s="7">
        <f t="shared" si="19"/>
        <v>25.8795</v>
      </c>
      <c r="N252" s="7">
        <f t="shared" si="20"/>
        <v>146.65049999999999</v>
      </c>
      <c r="O252" s="7">
        <f t="shared" si="21"/>
        <v>105.55</v>
      </c>
      <c r="P252" s="7">
        <f t="shared" si="22"/>
        <v>41.100499999999997</v>
      </c>
      <c r="Q252" s="8">
        <f t="shared" si="23"/>
        <v>0.28026157428716575</v>
      </c>
    </row>
    <row r="253" spans="1:17" ht="15" customHeight="1" x14ac:dyDescent="0.3">
      <c r="A253" t="s">
        <v>369</v>
      </c>
      <c r="B253" s="6">
        <v>45485</v>
      </c>
      <c r="C253" t="s">
        <v>79</v>
      </c>
      <c r="D253" t="s">
        <v>72</v>
      </c>
      <c r="E253" t="s">
        <v>98</v>
      </c>
      <c r="F253" t="s">
        <v>74</v>
      </c>
      <c r="G253" t="s">
        <v>142</v>
      </c>
      <c r="H253">
        <v>5</v>
      </c>
      <c r="I253" s="7">
        <v>991.15</v>
      </c>
      <c r="J253" s="8">
        <v>0</v>
      </c>
      <c r="K253" s="7">
        <v>612.92999999999995</v>
      </c>
      <c r="L253" s="7">
        <f t="shared" si="18"/>
        <v>4955.75</v>
      </c>
      <c r="M253" s="7">
        <f t="shared" si="19"/>
        <v>0</v>
      </c>
      <c r="N253" s="7">
        <f t="shared" si="20"/>
        <v>4955.75</v>
      </c>
      <c r="O253" s="7">
        <f t="shared" si="21"/>
        <v>3064.6499999999996</v>
      </c>
      <c r="P253" s="7">
        <f t="shared" si="22"/>
        <v>1891.1000000000004</v>
      </c>
      <c r="Q253" s="8">
        <f t="shared" si="23"/>
        <v>0.38159713464157802</v>
      </c>
    </row>
    <row r="254" spans="1:17" ht="15" customHeight="1" x14ac:dyDescent="0.3">
      <c r="A254" t="s">
        <v>370</v>
      </c>
      <c r="B254" s="6">
        <v>45398</v>
      </c>
      <c r="C254" t="s">
        <v>93</v>
      </c>
      <c r="D254" t="s">
        <v>117</v>
      </c>
      <c r="E254" t="s">
        <v>118</v>
      </c>
      <c r="F254" t="s">
        <v>74</v>
      </c>
      <c r="G254" t="s">
        <v>91</v>
      </c>
      <c r="H254">
        <v>3</v>
      </c>
      <c r="I254" s="7">
        <v>167.47</v>
      </c>
      <c r="J254" s="8">
        <v>0.1</v>
      </c>
      <c r="K254" s="7">
        <v>107.06</v>
      </c>
      <c r="L254" s="7">
        <f t="shared" si="18"/>
        <v>502.40999999999997</v>
      </c>
      <c r="M254" s="7">
        <f t="shared" si="19"/>
        <v>50.241</v>
      </c>
      <c r="N254" s="7">
        <f t="shared" si="20"/>
        <v>452.16899999999998</v>
      </c>
      <c r="O254" s="7">
        <f t="shared" si="21"/>
        <v>321.18</v>
      </c>
      <c r="P254" s="7">
        <f t="shared" si="22"/>
        <v>130.98899999999998</v>
      </c>
      <c r="Q254" s="8">
        <f t="shared" si="23"/>
        <v>0.28969035913563285</v>
      </c>
    </row>
    <row r="255" spans="1:17" ht="15" customHeight="1" x14ac:dyDescent="0.3">
      <c r="A255" t="s">
        <v>371</v>
      </c>
      <c r="B255" s="6">
        <v>45537</v>
      </c>
      <c r="C255" t="s">
        <v>79</v>
      </c>
      <c r="D255" t="s">
        <v>72</v>
      </c>
      <c r="E255" t="s">
        <v>125</v>
      </c>
      <c r="F255" t="s">
        <v>90</v>
      </c>
      <c r="G255" t="s">
        <v>94</v>
      </c>
      <c r="H255">
        <v>5</v>
      </c>
      <c r="I255" s="7">
        <v>1145.24</v>
      </c>
      <c r="J255" s="8">
        <v>0.05</v>
      </c>
      <c r="K255" s="7">
        <v>571.66</v>
      </c>
      <c r="L255" s="7">
        <f t="shared" si="18"/>
        <v>5726.2</v>
      </c>
      <c r="M255" s="7">
        <f t="shared" si="19"/>
        <v>286.31</v>
      </c>
      <c r="N255" s="7">
        <f t="shared" si="20"/>
        <v>5439.8899999999994</v>
      </c>
      <c r="O255" s="7">
        <f t="shared" si="21"/>
        <v>2858.2999999999997</v>
      </c>
      <c r="P255" s="7">
        <f t="shared" si="22"/>
        <v>2581.5899999999997</v>
      </c>
      <c r="Q255" s="8">
        <f t="shared" si="23"/>
        <v>0.47456658130954854</v>
      </c>
    </row>
    <row r="256" spans="1:17" ht="15" customHeight="1" x14ac:dyDescent="0.3">
      <c r="A256" t="s">
        <v>372</v>
      </c>
      <c r="B256" s="6">
        <v>45530</v>
      </c>
      <c r="C256" t="s">
        <v>71</v>
      </c>
      <c r="D256" t="s">
        <v>117</v>
      </c>
      <c r="E256" t="s">
        <v>118</v>
      </c>
      <c r="F256" t="s">
        <v>82</v>
      </c>
      <c r="G256" t="s">
        <v>135</v>
      </c>
      <c r="H256">
        <v>3</v>
      </c>
      <c r="I256" s="7">
        <v>135.22999999999999</v>
      </c>
      <c r="J256" s="8">
        <v>0.1</v>
      </c>
      <c r="K256" s="7">
        <v>62.93</v>
      </c>
      <c r="L256" s="7">
        <f t="shared" si="18"/>
        <v>405.68999999999994</v>
      </c>
      <c r="M256" s="7">
        <f t="shared" si="19"/>
        <v>40.568999999999996</v>
      </c>
      <c r="N256" s="7">
        <f t="shared" si="20"/>
        <v>365.12099999999992</v>
      </c>
      <c r="O256" s="7">
        <f t="shared" si="21"/>
        <v>188.79</v>
      </c>
      <c r="P256" s="7">
        <f t="shared" si="22"/>
        <v>176.33099999999993</v>
      </c>
      <c r="Q256" s="8">
        <f t="shared" si="23"/>
        <v>0.48293853270559617</v>
      </c>
    </row>
    <row r="257" spans="1:17" ht="15" customHeight="1" x14ac:dyDescent="0.3">
      <c r="A257" t="s">
        <v>373</v>
      </c>
      <c r="B257" s="6">
        <v>45455</v>
      </c>
      <c r="C257" t="s">
        <v>102</v>
      </c>
      <c r="D257" t="s">
        <v>80</v>
      </c>
      <c r="E257" t="s">
        <v>81</v>
      </c>
      <c r="F257" t="s">
        <v>74</v>
      </c>
      <c r="G257" t="s">
        <v>91</v>
      </c>
      <c r="H257">
        <v>3</v>
      </c>
      <c r="I257" s="7">
        <v>286.29000000000002</v>
      </c>
      <c r="J257" s="8">
        <v>0.1</v>
      </c>
      <c r="K257" s="7">
        <v>144.13999999999999</v>
      </c>
      <c r="L257" s="7">
        <f t="shared" si="18"/>
        <v>858.87000000000012</v>
      </c>
      <c r="M257" s="7">
        <f t="shared" si="19"/>
        <v>85.887000000000015</v>
      </c>
      <c r="N257" s="7">
        <f t="shared" si="20"/>
        <v>772.98300000000006</v>
      </c>
      <c r="O257" s="7">
        <f t="shared" si="21"/>
        <v>432.41999999999996</v>
      </c>
      <c r="P257" s="7">
        <f t="shared" si="22"/>
        <v>340.5630000000001</v>
      </c>
      <c r="Q257" s="8">
        <f t="shared" si="23"/>
        <v>0.44058278125133421</v>
      </c>
    </row>
    <row r="258" spans="1:17" ht="15" customHeight="1" x14ac:dyDescent="0.3">
      <c r="A258" t="s">
        <v>374</v>
      </c>
      <c r="B258" s="6">
        <v>45575</v>
      </c>
      <c r="C258" t="s">
        <v>79</v>
      </c>
      <c r="D258" t="s">
        <v>80</v>
      </c>
      <c r="E258" t="s">
        <v>159</v>
      </c>
      <c r="F258" t="s">
        <v>74</v>
      </c>
      <c r="G258" t="s">
        <v>142</v>
      </c>
      <c r="H258">
        <v>5</v>
      </c>
      <c r="I258" s="7">
        <v>289.56</v>
      </c>
      <c r="J258" s="8">
        <v>0.15</v>
      </c>
      <c r="K258" s="7">
        <v>137.19</v>
      </c>
      <c r="L258" s="7">
        <f t="shared" ref="L258:L321" si="24">H258*I258</f>
        <v>1447.8</v>
      </c>
      <c r="M258" s="7">
        <f t="shared" ref="M258:M321" si="25">L258*J258</f>
        <v>217.17</v>
      </c>
      <c r="N258" s="7">
        <f t="shared" ref="N258:N321" si="26">L258-M258</f>
        <v>1230.6299999999999</v>
      </c>
      <c r="O258" s="7">
        <f t="shared" ref="O258:O321" si="27">H258*K258</f>
        <v>685.95</v>
      </c>
      <c r="P258" s="7">
        <f t="shared" ref="P258:P321" si="28">N258-O258</f>
        <v>544.67999999999984</v>
      </c>
      <c r="Q258" s="8">
        <f t="shared" ref="Q258:Q321" si="29">IF(N258=0,0,P258/N258)</f>
        <v>0.44260256941566506</v>
      </c>
    </row>
    <row r="259" spans="1:17" ht="15" customHeight="1" x14ac:dyDescent="0.3">
      <c r="A259" t="s">
        <v>375</v>
      </c>
      <c r="B259" s="6">
        <v>45417</v>
      </c>
      <c r="C259" t="s">
        <v>79</v>
      </c>
      <c r="D259" t="s">
        <v>117</v>
      </c>
      <c r="E259" t="s">
        <v>121</v>
      </c>
      <c r="F259" t="s">
        <v>82</v>
      </c>
      <c r="G259" t="s">
        <v>83</v>
      </c>
      <c r="H259">
        <v>3</v>
      </c>
      <c r="I259" s="7">
        <v>131.93</v>
      </c>
      <c r="J259" s="8">
        <v>0.1</v>
      </c>
      <c r="K259" s="7">
        <v>77.95</v>
      </c>
      <c r="L259" s="7">
        <f t="shared" si="24"/>
        <v>395.79</v>
      </c>
      <c r="M259" s="7">
        <f t="shared" si="25"/>
        <v>39.579000000000008</v>
      </c>
      <c r="N259" s="7">
        <f t="shared" si="26"/>
        <v>356.21100000000001</v>
      </c>
      <c r="O259" s="7">
        <f t="shared" si="27"/>
        <v>233.85000000000002</v>
      </c>
      <c r="P259" s="7">
        <f t="shared" si="28"/>
        <v>122.36099999999999</v>
      </c>
      <c r="Q259" s="8">
        <f t="shared" si="29"/>
        <v>0.34350707866966484</v>
      </c>
    </row>
    <row r="260" spans="1:17" ht="15" customHeight="1" x14ac:dyDescent="0.3">
      <c r="A260" t="s">
        <v>376</v>
      </c>
      <c r="B260" s="6">
        <v>45378</v>
      </c>
      <c r="C260" t="s">
        <v>102</v>
      </c>
      <c r="D260" t="s">
        <v>108</v>
      </c>
      <c r="E260" t="s">
        <v>162</v>
      </c>
      <c r="F260" t="s">
        <v>74</v>
      </c>
      <c r="G260" t="s">
        <v>87</v>
      </c>
      <c r="H260">
        <v>18</v>
      </c>
      <c r="I260" s="7">
        <v>20.3</v>
      </c>
      <c r="J260" s="8">
        <v>0.15</v>
      </c>
      <c r="K260" s="7">
        <v>9.0500000000000007</v>
      </c>
      <c r="L260" s="7">
        <f t="shared" si="24"/>
        <v>365.40000000000003</v>
      </c>
      <c r="M260" s="7">
        <f t="shared" si="25"/>
        <v>54.81</v>
      </c>
      <c r="N260" s="7">
        <f t="shared" si="26"/>
        <v>310.59000000000003</v>
      </c>
      <c r="O260" s="7">
        <f t="shared" si="27"/>
        <v>162.9</v>
      </c>
      <c r="P260" s="7">
        <f t="shared" si="28"/>
        <v>147.69000000000003</v>
      </c>
      <c r="Q260" s="8">
        <f t="shared" si="29"/>
        <v>0.47551434366850193</v>
      </c>
    </row>
    <row r="261" spans="1:17" ht="15" customHeight="1" x14ac:dyDescent="0.3">
      <c r="A261" t="s">
        <v>377</v>
      </c>
      <c r="B261" s="6">
        <v>45634</v>
      </c>
      <c r="C261" t="s">
        <v>93</v>
      </c>
      <c r="D261" t="s">
        <v>80</v>
      </c>
      <c r="E261" t="s">
        <v>113</v>
      </c>
      <c r="F261" t="s">
        <v>74</v>
      </c>
      <c r="G261" t="s">
        <v>94</v>
      </c>
      <c r="H261">
        <v>1</v>
      </c>
      <c r="I261" s="7">
        <v>147.76</v>
      </c>
      <c r="J261" s="8">
        <v>0.15</v>
      </c>
      <c r="K261" s="7">
        <v>64.180000000000007</v>
      </c>
      <c r="L261" s="7">
        <f t="shared" si="24"/>
        <v>147.76</v>
      </c>
      <c r="M261" s="7">
        <f t="shared" si="25"/>
        <v>22.163999999999998</v>
      </c>
      <c r="N261" s="7">
        <f t="shared" si="26"/>
        <v>125.59599999999999</v>
      </c>
      <c r="O261" s="7">
        <f t="shared" si="27"/>
        <v>64.180000000000007</v>
      </c>
      <c r="P261" s="7">
        <f t="shared" si="28"/>
        <v>61.415999999999983</v>
      </c>
      <c r="Q261" s="8">
        <f t="shared" si="29"/>
        <v>0.48899646485556852</v>
      </c>
    </row>
    <row r="262" spans="1:17" ht="15" customHeight="1" x14ac:dyDescent="0.3">
      <c r="A262" t="s">
        <v>378</v>
      </c>
      <c r="B262" s="6">
        <v>45550</v>
      </c>
      <c r="C262" t="s">
        <v>79</v>
      </c>
      <c r="D262" t="s">
        <v>117</v>
      </c>
      <c r="E262" t="s">
        <v>131</v>
      </c>
      <c r="F262" t="s">
        <v>74</v>
      </c>
      <c r="G262" t="s">
        <v>75</v>
      </c>
      <c r="H262">
        <v>1</v>
      </c>
      <c r="I262" s="7">
        <v>127.78</v>
      </c>
      <c r="J262" s="8">
        <v>0.2</v>
      </c>
      <c r="K262" s="7">
        <v>71.48</v>
      </c>
      <c r="L262" s="7">
        <f t="shared" si="24"/>
        <v>127.78</v>
      </c>
      <c r="M262" s="7">
        <f t="shared" si="25"/>
        <v>25.556000000000001</v>
      </c>
      <c r="N262" s="7">
        <f t="shared" si="26"/>
        <v>102.224</v>
      </c>
      <c r="O262" s="7">
        <f t="shared" si="27"/>
        <v>71.48</v>
      </c>
      <c r="P262" s="7">
        <f t="shared" si="28"/>
        <v>30.744</v>
      </c>
      <c r="Q262" s="8">
        <f t="shared" si="29"/>
        <v>0.30075129128189071</v>
      </c>
    </row>
    <row r="263" spans="1:17" ht="15" customHeight="1" x14ac:dyDescent="0.3">
      <c r="A263" t="s">
        <v>379</v>
      </c>
      <c r="B263" s="6">
        <v>45564</v>
      </c>
      <c r="C263" t="s">
        <v>102</v>
      </c>
      <c r="D263" t="s">
        <v>80</v>
      </c>
      <c r="E263" t="s">
        <v>81</v>
      </c>
      <c r="F263" t="s">
        <v>74</v>
      </c>
      <c r="G263" t="s">
        <v>110</v>
      </c>
      <c r="H263">
        <v>1</v>
      </c>
      <c r="I263" s="7">
        <v>228.26</v>
      </c>
      <c r="J263" s="8">
        <v>0</v>
      </c>
      <c r="K263" s="7">
        <v>121.52</v>
      </c>
      <c r="L263" s="7">
        <f t="shared" si="24"/>
        <v>228.26</v>
      </c>
      <c r="M263" s="7">
        <f t="shared" si="25"/>
        <v>0</v>
      </c>
      <c r="N263" s="7">
        <f t="shared" si="26"/>
        <v>228.26</v>
      </c>
      <c r="O263" s="7">
        <f t="shared" si="27"/>
        <v>121.52</v>
      </c>
      <c r="P263" s="7">
        <f t="shared" si="28"/>
        <v>106.74</v>
      </c>
      <c r="Q263" s="8">
        <f t="shared" si="29"/>
        <v>0.46762463857005171</v>
      </c>
    </row>
    <row r="264" spans="1:17" ht="15" customHeight="1" x14ac:dyDescent="0.3">
      <c r="A264" t="s">
        <v>380</v>
      </c>
      <c r="B264" s="6">
        <v>45649</v>
      </c>
      <c r="C264" t="s">
        <v>71</v>
      </c>
      <c r="D264" t="s">
        <v>85</v>
      </c>
      <c r="E264" t="s">
        <v>173</v>
      </c>
      <c r="F264" t="s">
        <v>74</v>
      </c>
      <c r="G264" t="s">
        <v>114</v>
      </c>
      <c r="H264">
        <v>2</v>
      </c>
      <c r="I264" s="7">
        <v>433.73</v>
      </c>
      <c r="J264" s="8">
        <v>0</v>
      </c>
      <c r="K264" s="7">
        <v>273.04000000000002</v>
      </c>
      <c r="L264" s="7">
        <f t="shared" si="24"/>
        <v>867.46</v>
      </c>
      <c r="M264" s="7">
        <f t="shared" si="25"/>
        <v>0</v>
      </c>
      <c r="N264" s="7">
        <f t="shared" si="26"/>
        <v>867.46</v>
      </c>
      <c r="O264" s="7">
        <f t="shared" si="27"/>
        <v>546.08000000000004</v>
      </c>
      <c r="P264" s="7">
        <f t="shared" si="28"/>
        <v>321.38</v>
      </c>
      <c r="Q264" s="8">
        <f t="shared" si="29"/>
        <v>0.37048394162266846</v>
      </c>
    </row>
    <row r="265" spans="1:17" ht="15" customHeight="1" x14ac:dyDescent="0.3">
      <c r="A265" t="s">
        <v>381</v>
      </c>
      <c r="B265" s="6">
        <v>45561</v>
      </c>
      <c r="C265" t="s">
        <v>79</v>
      </c>
      <c r="D265" t="s">
        <v>80</v>
      </c>
      <c r="E265" t="s">
        <v>159</v>
      </c>
      <c r="F265" t="s">
        <v>74</v>
      </c>
      <c r="G265" t="s">
        <v>83</v>
      </c>
      <c r="H265">
        <v>3</v>
      </c>
      <c r="I265" s="7">
        <v>180.39</v>
      </c>
      <c r="J265" s="8">
        <v>0.1</v>
      </c>
      <c r="K265" s="7">
        <v>108.01</v>
      </c>
      <c r="L265" s="7">
        <f t="shared" si="24"/>
        <v>541.16999999999996</v>
      </c>
      <c r="M265" s="7">
        <f t="shared" si="25"/>
        <v>54.116999999999997</v>
      </c>
      <c r="N265" s="7">
        <f t="shared" si="26"/>
        <v>487.05299999999994</v>
      </c>
      <c r="O265" s="7">
        <f t="shared" si="27"/>
        <v>324.03000000000003</v>
      </c>
      <c r="P265" s="7">
        <f t="shared" si="28"/>
        <v>163.02299999999991</v>
      </c>
      <c r="Q265" s="8">
        <f t="shared" si="29"/>
        <v>0.33471305997499229</v>
      </c>
    </row>
    <row r="266" spans="1:17" ht="15" customHeight="1" x14ac:dyDescent="0.3">
      <c r="A266" t="s">
        <v>382</v>
      </c>
      <c r="B266" s="6">
        <v>45416</v>
      </c>
      <c r="C266" t="s">
        <v>102</v>
      </c>
      <c r="D266" t="s">
        <v>72</v>
      </c>
      <c r="E266" t="s">
        <v>123</v>
      </c>
      <c r="F266" t="s">
        <v>82</v>
      </c>
      <c r="G266" t="s">
        <v>83</v>
      </c>
      <c r="H266">
        <v>2</v>
      </c>
      <c r="I266" s="7">
        <v>1193.75</v>
      </c>
      <c r="J266" s="8">
        <v>0.1</v>
      </c>
      <c r="K266" s="7">
        <v>681.64</v>
      </c>
      <c r="L266" s="7">
        <f t="shared" si="24"/>
        <v>2387.5</v>
      </c>
      <c r="M266" s="7">
        <f t="shared" si="25"/>
        <v>238.75</v>
      </c>
      <c r="N266" s="7">
        <f t="shared" si="26"/>
        <v>2148.75</v>
      </c>
      <c r="O266" s="7">
        <f t="shared" si="27"/>
        <v>1363.28</v>
      </c>
      <c r="P266" s="7">
        <f t="shared" si="28"/>
        <v>785.47</v>
      </c>
      <c r="Q266" s="8">
        <f t="shared" si="29"/>
        <v>0.36554741128563117</v>
      </c>
    </row>
    <row r="267" spans="1:17" ht="15" customHeight="1" x14ac:dyDescent="0.3">
      <c r="A267" t="s">
        <v>383</v>
      </c>
      <c r="B267" s="6">
        <v>45485</v>
      </c>
      <c r="C267" t="s">
        <v>77</v>
      </c>
      <c r="D267" t="s">
        <v>72</v>
      </c>
      <c r="E267" t="s">
        <v>73</v>
      </c>
      <c r="F267" t="s">
        <v>82</v>
      </c>
      <c r="G267" t="s">
        <v>135</v>
      </c>
      <c r="H267">
        <v>1</v>
      </c>
      <c r="I267" s="7">
        <v>913.73</v>
      </c>
      <c r="J267" s="8">
        <v>0</v>
      </c>
      <c r="K267" s="7">
        <v>526.04</v>
      </c>
      <c r="L267" s="7">
        <f t="shared" si="24"/>
        <v>913.73</v>
      </c>
      <c r="M267" s="7">
        <f t="shared" si="25"/>
        <v>0</v>
      </c>
      <c r="N267" s="7">
        <f t="shared" si="26"/>
        <v>913.73</v>
      </c>
      <c r="O267" s="7">
        <f t="shared" si="27"/>
        <v>526.04</v>
      </c>
      <c r="P267" s="7">
        <f t="shared" si="28"/>
        <v>387.69000000000005</v>
      </c>
      <c r="Q267" s="8">
        <f t="shared" si="29"/>
        <v>0.42429382859269155</v>
      </c>
    </row>
    <row r="268" spans="1:17" ht="15" customHeight="1" x14ac:dyDescent="0.3">
      <c r="A268" t="s">
        <v>384</v>
      </c>
      <c r="B268" s="6">
        <v>45581</v>
      </c>
      <c r="C268" t="s">
        <v>102</v>
      </c>
      <c r="D268" t="s">
        <v>72</v>
      </c>
      <c r="E268" t="s">
        <v>96</v>
      </c>
      <c r="F268" t="s">
        <v>90</v>
      </c>
      <c r="G268" t="s">
        <v>87</v>
      </c>
      <c r="H268">
        <v>1</v>
      </c>
      <c r="I268" s="7">
        <v>1185.49</v>
      </c>
      <c r="J268" s="8">
        <v>0.2</v>
      </c>
      <c r="K268" s="7">
        <v>746.61</v>
      </c>
      <c r="L268" s="7">
        <f t="shared" si="24"/>
        <v>1185.49</v>
      </c>
      <c r="M268" s="7">
        <f t="shared" si="25"/>
        <v>237.09800000000001</v>
      </c>
      <c r="N268" s="7">
        <f t="shared" si="26"/>
        <v>948.39200000000005</v>
      </c>
      <c r="O268" s="7">
        <f t="shared" si="27"/>
        <v>746.61</v>
      </c>
      <c r="P268" s="7">
        <f t="shared" si="28"/>
        <v>201.78200000000004</v>
      </c>
      <c r="Q268" s="8">
        <f t="shared" si="29"/>
        <v>0.21276223333811339</v>
      </c>
    </row>
    <row r="269" spans="1:17" ht="15" customHeight="1" x14ac:dyDescent="0.3">
      <c r="A269" t="s">
        <v>385</v>
      </c>
      <c r="B269" s="6">
        <v>45315</v>
      </c>
      <c r="C269" t="s">
        <v>93</v>
      </c>
      <c r="D269" t="s">
        <v>117</v>
      </c>
      <c r="E269" t="s">
        <v>133</v>
      </c>
      <c r="F269" t="s">
        <v>82</v>
      </c>
      <c r="G269" t="s">
        <v>142</v>
      </c>
      <c r="H269">
        <v>3</v>
      </c>
      <c r="I269" s="7">
        <v>172.72</v>
      </c>
      <c r="J269" s="8">
        <v>0.2</v>
      </c>
      <c r="K269" s="7">
        <v>93.42</v>
      </c>
      <c r="L269" s="7">
        <f t="shared" si="24"/>
        <v>518.16</v>
      </c>
      <c r="M269" s="7">
        <f t="shared" si="25"/>
        <v>103.63200000000001</v>
      </c>
      <c r="N269" s="7">
        <f t="shared" si="26"/>
        <v>414.52799999999996</v>
      </c>
      <c r="O269" s="7">
        <f t="shared" si="27"/>
        <v>280.26</v>
      </c>
      <c r="P269" s="7">
        <f t="shared" si="28"/>
        <v>134.26799999999997</v>
      </c>
      <c r="Q269" s="8">
        <f t="shared" si="29"/>
        <v>0.32390574339972206</v>
      </c>
    </row>
    <row r="270" spans="1:17" ht="15" customHeight="1" x14ac:dyDescent="0.3">
      <c r="A270" t="s">
        <v>386</v>
      </c>
      <c r="B270" s="6">
        <v>45592</v>
      </c>
      <c r="C270" t="s">
        <v>71</v>
      </c>
      <c r="D270" t="s">
        <v>72</v>
      </c>
      <c r="E270" t="s">
        <v>125</v>
      </c>
      <c r="F270" t="s">
        <v>74</v>
      </c>
      <c r="G270" t="s">
        <v>75</v>
      </c>
      <c r="H270">
        <v>4</v>
      </c>
      <c r="I270" s="7">
        <v>652.28</v>
      </c>
      <c r="J270" s="8">
        <v>0</v>
      </c>
      <c r="K270" s="7">
        <v>309.72000000000003</v>
      </c>
      <c r="L270" s="7">
        <f t="shared" si="24"/>
        <v>2609.12</v>
      </c>
      <c r="M270" s="7">
        <f t="shared" si="25"/>
        <v>0</v>
      </c>
      <c r="N270" s="7">
        <f t="shared" si="26"/>
        <v>2609.12</v>
      </c>
      <c r="O270" s="7">
        <f t="shared" si="27"/>
        <v>1238.8800000000001</v>
      </c>
      <c r="P270" s="7">
        <f t="shared" si="28"/>
        <v>1370.2399999999998</v>
      </c>
      <c r="Q270" s="8">
        <f t="shared" si="29"/>
        <v>0.52517323848653941</v>
      </c>
    </row>
    <row r="271" spans="1:17" ht="15" customHeight="1" x14ac:dyDescent="0.3">
      <c r="A271" t="s">
        <v>387</v>
      </c>
      <c r="B271" s="6">
        <v>45461</v>
      </c>
      <c r="C271" t="s">
        <v>93</v>
      </c>
      <c r="D271" t="s">
        <v>80</v>
      </c>
      <c r="E271" t="s">
        <v>159</v>
      </c>
      <c r="F271" t="s">
        <v>82</v>
      </c>
      <c r="G271" t="s">
        <v>114</v>
      </c>
      <c r="H271">
        <v>2</v>
      </c>
      <c r="I271" s="7">
        <v>201.42</v>
      </c>
      <c r="J271" s="8">
        <v>0</v>
      </c>
      <c r="K271" s="7">
        <v>105.79</v>
      </c>
      <c r="L271" s="7">
        <f t="shared" si="24"/>
        <v>402.84</v>
      </c>
      <c r="M271" s="7">
        <f t="shared" si="25"/>
        <v>0</v>
      </c>
      <c r="N271" s="7">
        <f t="shared" si="26"/>
        <v>402.84</v>
      </c>
      <c r="O271" s="7">
        <f t="shared" si="27"/>
        <v>211.58</v>
      </c>
      <c r="P271" s="7">
        <f t="shared" si="28"/>
        <v>191.25999999999996</v>
      </c>
      <c r="Q271" s="8">
        <f t="shared" si="29"/>
        <v>0.47477906861284869</v>
      </c>
    </row>
    <row r="272" spans="1:17" ht="15" customHeight="1" x14ac:dyDescent="0.3">
      <c r="A272" t="s">
        <v>388</v>
      </c>
      <c r="B272" s="6">
        <v>45330</v>
      </c>
      <c r="C272" t="s">
        <v>77</v>
      </c>
      <c r="D272" t="s">
        <v>85</v>
      </c>
      <c r="E272" t="s">
        <v>100</v>
      </c>
      <c r="F272" t="s">
        <v>82</v>
      </c>
      <c r="G272" t="s">
        <v>75</v>
      </c>
      <c r="H272">
        <v>5</v>
      </c>
      <c r="I272" s="7">
        <v>340.37</v>
      </c>
      <c r="J272" s="8">
        <v>0.2</v>
      </c>
      <c r="K272" s="7">
        <v>169.9</v>
      </c>
      <c r="L272" s="7">
        <f t="shared" si="24"/>
        <v>1701.85</v>
      </c>
      <c r="M272" s="7">
        <f t="shared" si="25"/>
        <v>340.37</v>
      </c>
      <c r="N272" s="7">
        <f t="shared" si="26"/>
        <v>1361.48</v>
      </c>
      <c r="O272" s="7">
        <f t="shared" si="27"/>
        <v>849.5</v>
      </c>
      <c r="P272" s="7">
        <f t="shared" si="28"/>
        <v>511.98</v>
      </c>
      <c r="Q272" s="8">
        <f t="shared" si="29"/>
        <v>0.37604665511061491</v>
      </c>
    </row>
    <row r="273" spans="1:17" ht="15" customHeight="1" x14ac:dyDescent="0.3">
      <c r="A273" t="s">
        <v>389</v>
      </c>
      <c r="B273" s="6">
        <v>45408</v>
      </c>
      <c r="C273" t="s">
        <v>71</v>
      </c>
      <c r="D273" t="s">
        <v>85</v>
      </c>
      <c r="E273" t="s">
        <v>100</v>
      </c>
      <c r="F273" t="s">
        <v>82</v>
      </c>
      <c r="G273" t="s">
        <v>91</v>
      </c>
      <c r="H273">
        <v>4</v>
      </c>
      <c r="I273" s="7">
        <v>344.63</v>
      </c>
      <c r="J273" s="8">
        <v>0.15</v>
      </c>
      <c r="K273" s="7">
        <v>153.85</v>
      </c>
      <c r="L273" s="7">
        <f t="shared" si="24"/>
        <v>1378.52</v>
      </c>
      <c r="M273" s="7">
        <f t="shared" si="25"/>
        <v>206.77799999999999</v>
      </c>
      <c r="N273" s="7">
        <f t="shared" si="26"/>
        <v>1171.742</v>
      </c>
      <c r="O273" s="7">
        <f t="shared" si="27"/>
        <v>615.4</v>
      </c>
      <c r="P273" s="7">
        <f t="shared" si="28"/>
        <v>556.34199999999998</v>
      </c>
      <c r="Q273" s="8">
        <f t="shared" si="29"/>
        <v>0.47479905986130055</v>
      </c>
    </row>
    <row r="274" spans="1:17" ht="15" customHeight="1" x14ac:dyDescent="0.3">
      <c r="A274" t="s">
        <v>390</v>
      </c>
      <c r="B274" s="6">
        <v>45418</v>
      </c>
      <c r="C274" t="s">
        <v>77</v>
      </c>
      <c r="D274" t="s">
        <v>80</v>
      </c>
      <c r="E274" t="s">
        <v>81</v>
      </c>
      <c r="F274" t="s">
        <v>90</v>
      </c>
      <c r="G274" t="s">
        <v>142</v>
      </c>
      <c r="H274">
        <v>1</v>
      </c>
      <c r="I274" s="7">
        <v>254.1</v>
      </c>
      <c r="J274" s="8">
        <v>0.1</v>
      </c>
      <c r="K274" s="7">
        <v>111.44</v>
      </c>
      <c r="L274" s="7">
        <f t="shared" si="24"/>
        <v>254.1</v>
      </c>
      <c r="M274" s="7">
        <f t="shared" si="25"/>
        <v>25.41</v>
      </c>
      <c r="N274" s="7">
        <f t="shared" si="26"/>
        <v>228.69</v>
      </c>
      <c r="O274" s="7">
        <f t="shared" si="27"/>
        <v>111.44</v>
      </c>
      <c r="P274" s="7">
        <f t="shared" si="28"/>
        <v>117.25</v>
      </c>
      <c r="Q274" s="8">
        <f t="shared" si="29"/>
        <v>0.51270278543005821</v>
      </c>
    </row>
    <row r="275" spans="1:17" ht="15" customHeight="1" x14ac:dyDescent="0.3">
      <c r="A275" t="s">
        <v>391</v>
      </c>
      <c r="B275" s="6">
        <v>45338</v>
      </c>
      <c r="C275" t="s">
        <v>71</v>
      </c>
      <c r="D275" t="s">
        <v>117</v>
      </c>
      <c r="E275" t="s">
        <v>140</v>
      </c>
      <c r="F275" t="s">
        <v>82</v>
      </c>
      <c r="G275" t="s">
        <v>94</v>
      </c>
      <c r="H275">
        <v>3</v>
      </c>
      <c r="I275" s="7">
        <v>84.5</v>
      </c>
      <c r="J275" s="8">
        <v>0.15</v>
      </c>
      <c r="K275" s="7">
        <v>41.4</v>
      </c>
      <c r="L275" s="7">
        <f t="shared" si="24"/>
        <v>253.5</v>
      </c>
      <c r="M275" s="7">
        <f t="shared" si="25"/>
        <v>38.024999999999999</v>
      </c>
      <c r="N275" s="7">
        <f t="shared" si="26"/>
        <v>215.47499999999999</v>
      </c>
      <c r="O275" s="7">
        <f t="shared" si="27"/>
        <v>124.19999999999999</v>
      </c>
      <c r="P275" s="7">
        <f t="shared" si="28"/>
        <v>91.275000000000006</v>
      </c>
      <c r="Q275" s="8">
        <f t="shared" si="29"/>
        <v>0.4235990254089802</v>
      </c>
    </row>
    <row r="276" spans="1:17" ht="15" customHeight="1" x14ac:dyDescent="0.3">
      <c r="A276" t="s">
        <v>392</v>
      </c>
      <c r="B276" s="6">
        <v>45512</v>
      </c>
      <c r="C276" t="s">
        <v>79</v>
      </c>
      <c r="D276" t="s">
        <v>85</v>
      </c>
      <c r="E276" t="s">
        <v>100</v>
      </c>
      <c r="F276" t="s">
        <v>74</v>
      </c>
      <c r="G276" t="s">
        <v>106</v>
      </c>
      <c r="H276">
        <v>5</v>
      </c>
      <c r="I276" s="7">
        <v>370.68</v>
      </c>
      <c r="J276" s="8">
        <v>0.2</v>
      </c>
      <c r="K276" s="7">
        <v>186.09</v>
      </c>
      <c r="L276" s="7">
        <f t="shared" si="24"/>
        <v>1853.4</v>
      </c>
      <c r="M276" s="7">
        <f t="shared" si="25"/>
        <v>370.68000000000006</v>
      </c>
      <c r="N276" s="7">
        <f t="shared" si="26"/>
        <v>1482.72</v>
      </c>
      <c r="O276" s="7">
        <f t="shared" si="27"/>
        <v>930.45</v>
      </c>
      <c r="P276" s="7">
        <f t="shared" si="28"/>
        <v>552.27</v>
      </c>
      <c r="Q276" s="8">
        <f t="shared" si="29"/>
        <v>0.37247086435739718</v>
      </c>
    </row>
    <row r="277" spans="1:17" ht="15" customHeight="1" x14ac:dyDescent="0.3">
      <c r="A277" t="s">
        <v>393</v>
      </c>
      <c r="B277" s="6">
        <v>45597</v>
      </c>
      <c r="C277" t="s">
        <v>71</v>
      </c>
      <c r="D277" t="s">
        <v>72</v>
      </c>
      <c r="E277" t="s">
        <v>73</v>
      </c>
      <c r="F277" t="s">
        <v>90</v>
      </c>
      <c r="G277" t="s">
        <v>94</v>
      </c>
      <c r="H277">
        <v>3</v>
      </c>
      <c r="I277" s="7">
        <v>942.75</v>
      </c>
      <c r="J277" s="8">
        <v>0.15</v>
      </c>
      <c r="K277" s="7">
        <v>380.01</v>
      </c>
      <c r="L277" s="7">
        <f t="shared" si="24"/>
        <v>2828.25</v>
      </c>
      <c r="M277" s="7">
        <f t="shared" si="25"/>
        <v>424.23750000000001</v>
      </c>
      <c r="N277" s="7">
        <f t="shared" si="26"/>
        <v>2404.0124999999998</v>
      </c>
      <c r="O277" s="7">
        <f t="shared" si="27"/>
        <v>1140.03</v>
      </c>
      <c r="P277" s="7">
        <f t="shared" si="28"/>
        <v>1263.9824999999998</v>
      </c>
      <c r="Q277" s="8">
        <f t="shared" si="29"/>
        <v>0.52578033600074869</v>
      </c>
    </row>
    <row r="278" spans="1:17" ht="15" customHeight="1" x14ac:dyDescent="0.3">
      <c r="A278" t="s">
        <v>394</v>
      </c>
      <c r="B278" s="6">
        <v>45416</v>
      </c>
      <c r="C278" t="s">
        <v>77</v>
      </c>
      <c r="D278" t="s">
        <v>108</v>
      </c>
      <c r="E278" t="s">
        <v>162</v>
      </c>
      <c r="F278" t="s">
        <v>90</v>
      </c>
      <c r="G278" t="s">
        <v>114</v>
      </c>
      <c r="H278">
        <v>6</v>
      </c>
      <c r="I278" s="7">
        <v>28.94</v>
      </c>
      <c r="J278" s="8">
        <v>0.15</v>
      </c>
      <c r="K278" s="7">
        <v>12.8</v>
      </c>
      <c r="L278" s="7">
        <f t="shared" si="24"/>
        <v>173.64000000000001</v>
      </c>
      <c r="M278" s="7">
        <f t="shared" si="25"/>
        <v>26.046000000000003</v>
      </c>
      <c r="N278" s="7">
        <f t="shared" si="26"/>
        <v>147.59400000000002</v>
      </c>
      <c r="O278" s="7">
        <f t="shared" si="27"/>
        <v>76.800000000000011</v>
      </c>
      <c r="P278" s="7">
        <f t="shared" si="28"/>
        <v>70.794000000000011</v>
      </c>
      <c r="Q278" s="8">
        <f t="shared" si="29"/>
        <v>0.47965364445709174</v>
      </c>
    </row>
    <row r="279" spans="1:17" ht="15" customHeight="1" x14ac:dyDescent="0.3">
      <c r="A279" t="s">
        <v>395</v>
      </c>
      <c r="B279" s="6">
        <v>45324</v>
      </c>
      <c r="C279" t="s">
        <v>71</v>
      </c>
      <c r="D279" t="s">
        <v>85</v>
      </c>
      <c r="E279" t="s">
        <v>86</v>
      </c>
      <c r="F279" t="s">
        <v>82</v>
      </c>
      <c r="G279" t="s">
        <v>106</v>
      </c>
      <c r="H279">
        <v>3</v>
      </c>
      <c r="I279" s="7">
        <v>291.82</v>
      </c>
      <c r="J279" s="8">
        <v>0.15</v>
      </c>
      <c r="K279" s="7">
        <v>138.6</v>
      </c>
      <c r="L279" s="7">
        <f t="shared" si="24"/>
        <v>875.46</v>
      </c>
      <c r="M279" s="7">
        <f t="shared" si="25"/>
        <v>131.31899999999999</v>
      </c>
      <c r="N279" s="7">
        <f t="shared" si="26"/>
        <v>744.14100000000008</v>
      </c>
      <c r="O279" s="7">
        <f t="shared" si="27"/>
        <v>415.79999999999995</v>
      </c>
      <c r="P279" s="7">
        <f t="shared" si="28"/>
        <v>328.34100000000012</v>
      </c>
      <c r="Q279" s="8">
        <f t="shared" si="29"/>
        <v>0.44123492725169033</v>
      </c>
    </row>
    <row r="280" spans="1:17" ht="15" customHeight="1" x14ac:dyDescent="0.3">
      <c r="A280" t="s">
        <v>396</v>
      </c>
      <c r="B280" s="6">
        <v>45596</v>
      </c>
      <c r="C280" t="s">
        <v>71</v>
      </c>
      <c r="D280" t="s">
        <v>72</v>
      </c>
      <c r="E280" t="s">
        <v>123</v>
      </c>
      <c r="F280" t="s">
        <v>74</v>
      </c>
      <c r="G280" t="s">
        <v>91</v>
      </c>
      <c r="H280">
        <v>4</v>
      </c>
      <c r="I280" s="7">
        <v>954.67</v>
      </c>
      <c r="J280" s="8">
        <v>0</v>
      </c>
      <c r="K280" s="7">
        <v>414.2</v>
      </c>
      <c r="L280" s="7">
        <f t="shared" si="24"/>
        <v>3818.68</v>
      </c>
      <c r="M280" s="7">
        <f t="shared" si="25"/>
        <v>0</v>
      </c>
      <c r="N280" s="7">
        <f t="shared" si="26"/>
        <v>3818.68</v>
      </c>
      <c r="O280" s="7">
        <f t="shared" si="27"/>
        <v>1656.8</v>
      </c>
      <c r="P280" s="7">
        <f t="shared" si="28"/>
        <v>2161.88</v>
      </c>
      <c r="Q280" s="8">
        <f t="shared" si="29"/>
        <v>0.56613279981564313</v>
      </c>
    </row>
    <row r="281" spans="1:17" ht="15" customHeight="1" x14ac:dyDescent="0.3">
      <c r="A281" t="s">
        <v>397</v>
      </c>
      <c r="B281" s="6">
        <v>45460</v>
      </c>
      <c r="C281" t="s">
        <v>71</v>
      </c>
      <c r="D281" t="s">
        <v>72</v>
      </c>
      <c r="E281" t="s">
        <v>96</v>
      </c>
      <c r="F281" t="s">
        <v>90</v>
      </c>
      <c r="G281" t="s">
        <v>135</v>
      </c>
      <c r="H281">
        <v>4</v>
      </c>
      <c r="I281" s="7">
        <v>841.74</v>
      </c>
      <c r="J281" s="8">
        <v>0.2</v>
      </c>
      <c r="K281" s="7">
        <v>365.34</v>
      </c>
      <c r="L281" s="7">
        <f t="shared" si="24"/>
        <v>3366.96</v>
      </c>
      <c r="M281" s="7">
        <f t="shared" si="25"/>
        <v>673.39200000000005</v>
      </c>
      <c r="N281" s="7">
        <f t="shared" si="26"/>
        <v>2693.5680000000002</v>
      </c>
      <c r="O281" s="7">
        <f t="shared" si="27"/>
        <v>1461.36</v>
      </c>
      <c r="P281" s="7">
        <f t="shared" si="28"/>
        <v>1232.2080000000003</v>
      </c>
      <c r="Q281" s="8">
        <f t="shared" si="29"/>
        <v>0.45746311212488427</v>
      </c>
    </row>
    <row r="282" spans="1:17" ht="15" customHeight="1" x14ac:dyDescent="0.3">
      <c r="A282" t="s">
        <v>398</v>
      </c>
      <c r="B282" s="6">
        <v>45382</v>
      </c>
      <c r="C282" t="s">
        <v>79</v>
      </c>
      <c r="D282" t="s">
        <v>85</v>
      </c>
      <c r="E282" t="s">
        <v>173</v>
      </c>
      <c r="F282" t="s">
        <v>82</v>
      </c>
      <c r="G282" t="s">
        <v>87</v>
      </c>
      <c r="H282">
        <v>3</v>
      </c>
      <c r="I282" s="7">
        <v>515.08000000000004</v>
      </c>
      <c r="J282" s="8">
        <v>0.1</v>
      </c>
      <c r="K282" s="7">
        <v>300.66000000000003</v>
      </c>
      <c r="L282" s="7">
        <f t="shared" si="24"/>
        <v>1545.2400000000002</v>
      </c>
      <c r="M282" s="7">
        <f t="shared" si="25"/>
        <v>154.52400000000003</v>
      </c>
      <c r="N282" s="7">
        <f t="shared" si="26"/>
        <v>1390.7160000000001</v>
      </c>
      <c r="O282" s="7">
        <f t="shared" si="27"/>
        <v>901.98</v>
      </c>
      <c r="P282" s="7">
        <f t="shared" si="28"/>
        <v>488.7360000000001</v>
      </c>
      <c r="Q282" s="8">
        <f t="shared" si="29"/>
        <v>0.35142760995055788</v>
      </c>
    </row>
    <row r="283" spans="1:17" ht="15" customHeight="1" x14ac:dyDescent="0.3">
      <c r="A283" t="s">
        <v>399</v>
      </c>
      <c r="B283" s="6">
        <v>45435</v>
      </c>
      <c r="C283" t="s">
        <v>79</v>
      </c>
      <c r="D283" t="s">
        <v>108</v>
      </c>
      <c r="E283" t="s">
        <v>109</v>
      </c>
      <c r="F283" t="s">
        <v>82</v>
      </c>
      <c r="G283" t="s">
        <v>135</v>
      </c>
      <c r="H283">
        <v>13</v>
      </c>
      <c r="I283" s="7">
        <v>33.83</v>
      </c>
      <c r="J283" s="8">
        <v>0.1</v>
      </c>
      <c r="K283" s="7">
        <v>14.5</v>
      </c>
      <c r="L283" s="7">
        <f t="shared" si="24"/>
        <v>439.78999999999996</v>
      </c>
      <c r="M283" s="7">
        <f t="shared" si="25"/>
        <v>43.978999999999999</v>
      </c>
      <c r="N283" s="7">
        <f t="shared" si="26"/>
        <v>395.81099999999998</v>
      </c>
      <c r="O283" s="7">
        <f t="shared" si="27"/>
        <v>188.5</v>
      </c>
      <c r="P283" s="7">
        <f t="shared" si="28"/>
        <v>207.31099999999998</v>
      </c>
      <c r="Q283" s="8">
        <f t="shared" si="29"/>
        <v>0.5237626038690183</v>
      </c>
    </row>
    <row r="284" spans="1:17" ht="15" customHeight="1" x14ac:dyDescent="0.3">
      <c r="A284" t="s">
        <v>400</v>
      </c>
      <c r="B284" s="6">
        <v>45641</v>
      </c>
      <c r="C284" t="s">
        <v>93</v>
      </c>
      <c r="D284" t="s">
        <v>80</v>
      </c>
      <c r="E284" t="s">
        <v>159</v>
      </c>
      <c r="F284" t="s">
        <v>90</v>
      </c>
      <c r="G284" t="s">
        <v>106</v>
      </c>
      <c r="H284">
        <v>1</v>
      </c>
      <c r="I284" s="7">
        <v>262.82</v>
      </c>
      <c r="J284" s="8">
        <v>0.15</v>
      </c>
      <c r="K284" s="7">
        <v>167.09</v>
      </c>
      <c r="L284" s="7">
        <f t="shared" si="24"/>
        <v>262.82</v>
      </c>
      <c r="M284" s="7">
        <f t="shared" si="25"/>
        <v>39.422999999999995</v>
      </c>
      <c r="N284" s="7">
        <f t="shared" si="26"/>
        <v>223.39699999999999</v>
      </c>
      <c r="O284" s="7">
        <f t="shared" si="27"/>
        <v>167.09</v>
      </c>
      <c r="P284" s="7">
        <f t="shared" si="28"/>
        <v>56.306999999999988</v>
      </c>
      <c r="Q284" s="8">
        <f t="shared" si="29"/>
        <v>0.25204904273557832</v>
      </c>
    </row>
    <row r="285" spans="1:17" ht="15" customHeight="1" x14ac:dyDescent="0.3">
      <c r="A285" t="s">
        <v>401</v>
      </c>
      <c r="B285" s="6">
        <v>45501</v>
      </c>
      <c r="C285" t="s">
        <v>71</v>
      </c>
      <c r="D285" t="s">
        <v>117</v>
      </c>
      <c r="E285" t="s">
        <v>140</v>
      </c>
      <c r="F285" t="s">
        <v>90</v>
      </c>
      <c r="G285" t="s">
        <v>94</v>
      </c>
      <c r="H285">
        <v>2</v>
      </c>
      <c r="I285" s="7">
        <v>148.61000000000001</v>
      </c>
      <c r="J285" s="8">
        <v>0.1</v>
      </c>
      <c r="K285" s="7">
        <v>68.44</v>
      </c>
      <c r="L285" s="7">
        <f t="shared" si="24"/>
        <v>297.22000000000003</v>
      </c>
      <c r="M285" s="7">
        <f t="shared" si="25"/>
        <v>29.722000000000005</v>
      </c>
      <c r="N285" s="7">
        <f t="shared" si="26"/>
        <v>267.49800000000005</v>
      </c>
      <c r="O285" s="7">
        <f t="shared" si="27"/>
        <v>136.88</v>
      </c>
      <c r="P285" s="7">
        <f t="shared" si="28"/>
        <v>130.61800000000005</v>
      </c>
      <c r="Q285" s="8">
        <f t="shared" si="29"/>
        <v>0.48829523959057647</v>
      </c>
    </row>
    <row r="286" spans="1:17" ht="15" customHeight="1" x14ac:dyDescent="0.3">
      <c r="A286" t="s">
        <v>402</v>
      </c>
      <c r="B286" s="6">
        <v>45598</v>
      </c>
      <c r="C286" t="s">
        <v>102</v>
      </c>
      <c r="D286" t="s">
        <v>117</v>
      </c>
      <c r="E286" t="s">
        <v>140</v>
      </c>
      <c r="F286" t="s">
        <v>74</v>
      </c>
      <c r="G286" t="s">
        <v>91</v>
      </c>
      <c r="H286">
        <v>4</v>
      </c>
      <c r="I286" s="7">
        <v>130.01</v>
      </c>
      <c r="J286" s="8">
        <v>0.2</v>
      </c>
      <c r="K286" s="7">
        <v>68.47</v>
      </c>
      <c r="L286" s="7">
        <f t="shared" si="24"/>
        <v>520.04</v>
      </c>
      <c r="M286" s="7">
        <f t="shared" si="25"/>
        <v>104.008</v>
      </c>
      <c r="N286" s="7">
        <f t="shared" si="26"/>
        <v>416.03199999999998</v>
      </c>
      <c r="O286" s="7">
        <f t="shared" si="27"/>
        <v>273.88</v>
      </c>
      <c r="P286" s="7">
        <f t="shared" si="28"/>
        <v>142.15199999999999</v>
      </c>
      <c r="Q286" s="8">
        <f t="shared" si="29"/>
        <v>0.3416852549803861</v>
      </c>
    </row>
    <row r="287" spans="1:17" ht="15" customHeight="1" x14ac:dyDescent="0.3">
      <c r="A287" t="s">
        <v>403</v>
      </c>
      <c r="B287" s="6">
        <v>45596</v>
      </c>
      <c r="C287" t="s">
        <v>77</v>
      </c>
      <c r="D287" t="s">
        <v>108</v>
      </c>
      <c r="E287" t="s">
        <v>109</v>
      </c>
      <c r="F287" t="s">
        <v>82</v>
      </c>
      <c r="G287" t="s">
        <v>114</v>
      </c>
      <c r="H287">
        <v>3</v>
      </c>
      <c r="I287" s="7">
        <v>30.26</v>
      </c>
      <c r="J287" s="8">
        <v>0</v>
      </c>
      <c r="K287" s="7">
        <v>17.920000000000002</v>
      </c>
      <c r="L287" s="7">
        <f t="shared" si="24"/>
        <v>90.78</v>
      </c>
      <c r="M287" s="7">
        <f t="shared" si="25"/>
        <v>0</v>
      </c>
      <c r="N287" s="7">
        <f t="shared" si="26"/>
        <v>90.78</v>
      </c>
      <c r="O287" s="7">
        <f t="shared" si="27"/>
        <v>53.760000000000005</v>
      </c>
      <c r="P287" s="7">
        <f t="shared" si="28"/>
        <v>37.019999999999996</v>
      </c>
      <c r="Q287" s="8">
        <f t="shared" si="29"/>
        <v>0.40779907468605414</v>
      </c>
    </row>
    <row r="288" spans="1:17" ht="15" customHeight="1" x14ac:dyDescent="0.3">
      <c r="A288" t="s">
        <v>404</v>
      </c>
      <c r="B288" s="6">
        <v>45622</v>
      </c>
      <c r="C288" t="s">
        <v>93</v>
      </c>
      <c r="D288" t="s">
        <v>85</v>
      </c>
      <c r="E288" t="s">
        <v>103</v>
      </c>
      <c r="F288" t="s">
        <v>74</v>
      </c>
      <c r="G288" t="s">
        <v>83</v>
      </c>
      <c r="H288">
        <v>4</v>
      </c>
      <c r="I288" s="7">
        <v>434.69</v>
      </c>
      <c r="J288" s="8">
        <v>0.1</v>
      </c>
      <c r="K288" s="7">
        <v>278.82</v>
      </c>
      <c r="L288" s="7">
        <f t="shared" si="24"/>
        <v>1738.76</v>
      </c>
      <c r="M288" s="7">
        <f t="shared" si="25"/>
        <v>173.876</v>
      </c>
      <c r="N288" s="7">
        <f t="shared" si="26"/>
        <v>1564.884</v>
      </c>
      <c r="O288" s="7">
        <f t="shared" si="27"/>
        <v>1115.28</v>
      </c>
      <c r="P288" s="7">
        <f t="shared" si="28"/>
        <v>449.60400000000004</v>
      </c>
      <c r="Q288" s="8">
        <f t="shared" si="29"/>
        <v>0.28730819664588558</v>
      </c>
    </row>
    <row r="289" spans="1:17" ht="15" customHeight="1" x14ac:dyDescent="0.3">
      <c r="A289" t="s">
        <v>405</v>
      </c>
      <c r="B289" s="6">
        <v>45405</v>
      </c>
      <c r="C289" t="s">
        <v>77</v>
      </c>
      <c r="D289" t="s">
        <v>108</v>
      </c>
      <c r="E289" t="s">
        <v>200</v>
      </c>
      <c r="F289" t="s">
        <v>74</v>
      </c>
      <c r="G289" t="s">
        <v>142</v>
      </c>
      <c r="H289">
        <v>17</v>
      </c>
      <c r="I289" s="7">
        <v>27.71</v>
      </c>
      <c r="J289" s="8">
        <v>0.2</v>
      </c>
      <c r="K289" s="7">
        <v>15.11</v>
      </c>
      <c r="L289" s="7">
        <f t="shared" si="24"/>
        <v>471.07</v>
      </c>
      <c r="M289" s="7">
        <f t="shared" si="25"/>
        <v>94.213999999999999</v>
      </c>
      <c r="N289" s="7">
        <f t="shared" si="26"/>
        <v>376.85599999999999</v>
      </c>
      <c r="O289" s="7">
        <f t="shared" si="27"/>
        <v>256.87</v>
      </c>
      <c r="P289" s="7">
        <f t="shared" si="28"/>
        <v>119.98599999999999</v>
      </c>
      <c r="Q289" s="8">
        <f t="shared" si="29"/>
        <v>0.31838686394803317</v>
      </c>
    </row>
    <row r="290" spans="1:17" ht="15" customHeight="1" x14ac:dyDescent="0.3">
      <c r="A290" t="s">
        <v>406</v>
      </c>
      <c r="B290" s="6">
        <v>45529</v>
      </c>
      <c r="C290" t="s">
        <v>102</v>
      </c>
      <c r="D290" t="s">
        <v>80</v>
      </c>
      <c r="E290" t="s">
        <v>159</v>
      </c>
      <c r="F290" t="s">
        <v>82</v>
      </c>
      <c r="G290" t="s">
        <v>135</v>
      </c>
      <c r="H290">
        <v>5</v>
      </c>
      <c r="I290" s="7">
        <v>263.57</v>
      </c>
      <c r="J290" s="8">
        <v>0.2</v>
      </c>
      <c r="K290" s="7">
        <v>115.36</v>
      </c>
      <c r="L290" s="7">
        <f t="shared" si="24"/>
        <v>1317.85</v>
      </c>
      <c r="M290" s="7">
        <f t="shared" si="25"/>
        <v>263.57</v>
      </c>
      <c r="N290" s="7">
        <f t="shared" si="26"/>
        <v>1054.28</v>
      </c>
      <c r="O290" s="7">
        <f t="shared" si="27"/>
        <v>576.79999999999995</v>
      </c>
      <c r="P290" s="7">
        <f t="shared" si="28"/>
        <v>477.48</v>
      </c>
      <c r="Q290" s="8">
        <f t="shared" si="29"/>
        <v>0.45289676366809578</v>
      </c>
    </row>
    <row r="291" spans="1:17" ht="15" customHeight="1" x14ac:dyDescent="0.3">
      <c r="A291" t="s">
        <v>407</v>
      </c>
      <c r="B291" s="6">
        <v>45335</v>
      </c>
      <c r="C291" t="s">
        <v>77</v>
      </c>
      <c r="D291" t="s">
        <v>72</v>
      </c>
      <c r="E291" t="s">
        <v>96</v>
      </c>
      <c r="F291" t="s">
        <v>82</v>
      </c>
      <c r="G291" t="s">
        <v>135</v>
      </c>
      <c r="H291">
        <v>2</v>
      </c>
      <c r="I291" s="7">
        <v>634.28</v>
      </c>
      <c r="J291" s="8">
        <v>0.1</v>
      </c>
      <c r="K291" s="7">
        <v>303.17</v>
      </c>
      <c r="L291" s="7">
        <f t="shared" si="24"/>
        <v>1268.56</v>
      </c>
      <c r="M291" s="7">
        <f t="shared" si="25"/>
        <v>126.85599999999999</v>
      </c>
      <c r="N291" s="7">
        <f t="shared" si="26"/>
        <v>1141.704</v>
      </c>
      <c r="O291" s="7">
        <f t="shared" si="27"/>
        <v>606.34</v>
      </c>
      <c r="P291" s="7">
        <f t="shared" si="28"/>
        <v>535.36399999999992</v>
      </c>
      <c r="Q291" s="8">
        <f t="shared" si="29"/>
        <v>0.46891663688661855</v>
      </c>
    </row>
    <row r="292" spans="1:17" ht="15" customHeight="1" x14ac:dyDescent="0.3">
      <c r="A292" t="s">
        <v>408</v>
      </c>
      <c r="B292" s="6">
        <v>45535</v>
      </c>
      <c r="C292" t="s">
        <v>93</v>
      </c>
      <c r="D292" t="s">
        <v>108</v>
      </c>
      <c r="E292" t="s">
        <v>177</v>
      </c>
      <c r="F292" t="s">
        <v>82</v>
      </c>
      <c r="G292" t="s">
        <v>87</v>
      </c>
      <c r="H292">
        <v>15</v>
      </c>
      <c r="I292" s="7">
        <v>19.45</v>
      </c>
      <c r="J292" s="8">
        <v>0.1</v>
      </c>
      <c r="K292" s="7">
        <v>8.11</v>
      </c>
      <c r="L292" s="7">
        <f t="shared" si="24"/>
        <v>291.75</v>
      </c>
      <c r="M292" s="7">
        <f t="shared" si="25"/>
        <v>29.175000000000001</v>
      </c>
      <c r="N292" s="7">
        <f t="shared" si="26"/>
        <v>262.57499999999999</v>
      </c>
      <c r="O292" s="7">
        <f t="shared" si="27"/>
        <v>121.64999999999999</v>
      </c>
      <c r="P292" s="7">
        <f t="shared" si="28"/>
        <v>140.92500000000001</v>
      </c>
      <c r="Q292" s="8">
        <f t="shared" si="29"/>
        <v>0.53670379891459585</v>
      </c>
    </row>
    <row r="293" spans="1:17" ht="15" customHeight="1" x14ac:dyDescent="0.3">
      <c r="A293" t="s">
        <v>409</v>
      </c>
      <c r="B293" s="6">
        <v>45638</v>
      </c>
      <c r="C293" t="s">
        <v>77</v>
      </c>
      <c r="D293" t="s">
        <v>72</v>
      </c>
      <c r="E293" t="s">
        <v>73</v>
      </c>
      <c r="F293" t="s">
        <v>82</v>
      </c>
      <c r="G293" t="s">
        <v>94</v>
      </c>
      <c r="H293">
        <v>2</v>
      </c>
      <c r="I293" s="7">
        <v>1072.03</v>
      </c>
      <c r="J293" s="8">
        <v>0.2</v>
      </c>
      <c r="K293" s="7">
        <v>475.57</v>
      </c>
      <c r="L293" s="7">
        <f t="shared" si="24"/>
        <v>2144.06</v>
      </c>
      <c r="M293" s="7">
        <f t="shared" si="25"/>
        <v>428.81200000000001</v>
      </c>
      <c r="N293" s="7">
        <f t="shared" si="26"/>
        <v>1715.248</v>
      </c>
      <c r="O293" s="7">
        <f t="shared" si="27"/>
        <v>951.14</v>
      </c>
      <c r="P293" s="7">
        <f t="shared" si="28"/>
        <v>764.10800000000006</v>
      </c>
      <c r="Q293" s="8">
        <f t="shared" si="29"/>
        <v>0.44547960411555648</v>
      </c>
    </row>
    <row r="294" spans="1:17" ht="15" customHeight="1" x14ac:dyDescent="0.3">
      <c r="A294" t="s">
        <v>410</v>
      </c>
      <c r="B294" s="6">
        <v>45410</v>
      </c>
      <c r="C294" t="s">
        <v>93</v>
      </c>
      <c r="D294" t="s">
        <v>117</v>
      </c>
      <c r="E294" t="s">
        <v>121</v>
      </c>
      <c r="F294" t="s">
        <v>82</v>
      </c>
      <c r="G294" t="s">
        <v>91</v>
      </c>
      <c r="H294">
        <v>2</v>
      </c>
      <c r="I294" s="7">
        <v>160.58000000000001</v>
      </c>
      <c r="J294" s="8">
        <v>0.05</v>
      </c>
      <c r="K294" s="7">
        <v>89.94</v>
      </c>
      <c r="L294" s="7">
        <f t="shared" si="24"/>
        <v>321.16000000000003</v>
      </c>
      <c r="M294" s="7">
        <f t="shared" si="25"/>
        <v>16.058000000000003</v>
      </c>
      <c r="N294" s="7">
        <f t="shared" si="26"/>
        <v>305.10200000000003</v>
      </c>
      <c r="O294" s="7">
        <f t="shared" si="27"/>
        <v>179.88</v>
      </c>
      <c r="P294" s="7">
        <f t="shared" si="28"/>
        <v>125.22200000000004</v>
      </c>
      <c r="Q294" s="8">
        <f t="shared" si="29"/>
        <v>0.41042667698015756</v>
      </c>
    </row>
    <row r="295" spans="1:17" ht="15" customHeight="1" x14ac:dyDescent="0.3">
      <c r="A295" t="s">
        <v>411</v>
      </c>
      <c r="B295" s="6">
        <v>45393</v>
      </c>
      <c r="C295" t="s">
        <v>77</v>
      </c>
      <c r="D295" t="s">
        <v>108</v>
      </c>
      <c r="E295" t="s">
        <v>162</v>
      </c>
      <c r="F295" t="s">
        <v>90</v>
      </c>
      <c r="G295" t="s">
        <v>83</v>
      </c>
      <c r="H295">
        <v>14</v>
      </c>
      <c r="I295" s="7">
        <v>26.49</v>
      </c>
      <c r="J295" s="8">
        <v>0.15</v>
      </c>
      <c r="K295" s="7">
        <v>10.63</v>
      </c>
      <c r="L295" s="7">
        <f t="shared" si="24"/>
        <v>370.85999999999996</v>
      </c>
      <c r="M295" s="7">
        <f t="shared" si="25"/>
        <v>55.628999999999991</v>
      </c>
      <c r="N295" s="7">
        <f t="shared" si="26"/>
        <v>315.23099999999999</v>
      </c>
      <c r="O295" s="7">
        <f t="shared" si="27"/>
        <v>148.82000000000002</v>
      </c>
      <c r="P295" s="7">
        <f t="shared" si="28"/>
        <v>166.41099999999997</v>
      </c>
      <c r="Q295" s="8">
        <f t="shared" si="29"/>
        <v>0.52790176093087282</v>
      </c>
    </row>
    <row r="296" spans="1:17" ht="15" customHeight="1" x14ac:dyDescent="0.3">
      <c r="A296" t="s">
        <v>412</v>
      </c>
      <c r="B296" s="6">
        <v>45587</v>
      </c>
      <c r="C296" t="s">
        <v>71</v>
      </c>
      <c r="D296" t="s">
        <v>117</v>
      </c>
      <c r="E296" t="s">
        <v>133</v>
      </c>
      <c r="F296" t="s">
        <v>90</v>
      </c>
      <c r="G296" t="s">
        <v>94</v>
      </c>
      <c r="H296">
        <v>5</v>
      </c>
      <c r="I296" s="7">
        <v>93.77</v>
      </c>
      <c r="J296" s="8">
        <v>0.05</v>
      </c>
      <c r="K296" s="7">
        <v>46.08</v>
      </c>
      <c r="L296" s="7">
        <f t="shared" si="24"/>
        <v>468.84999999999997</v>
      </c>
      <c r="M296" s="7">
        <f t="shared" si="25"/>
        <v>23.442499999999999</v>
      </c>
      <c r="N296" s="7">
        <f t="shared" si="26"/>
        <v>445.40749999999997</v>
      </c>
      <c r="O296" s="7">
        <f t="shared" si="27"/>
        <v>230.39999999999998</v>
      </c>
      <c r="P296" s="7">
        <f t="shared" si="28"/>
        <v>215.00749999999999</v>
      </c>
      <c r="Q296" s="8">
        <f t="shared" si="29"/>
        <v>0.48272087919489459</v>
      </c>
    </row>
    <row r="297" spans="1:17" ht="15" customHeight="1" x14ac:dyDescent="0.3">
      <c r="A297" t="s">
        <v>413</v>
      </c>
      <c r="B297" s="6">
        <v>45562</v>
      </c>
      <c r="C297" t="s">
        <v>77</v>
      </c>
      <c r="D297" t="s">
        <v>117</v>
      </c>
      <c r="E297" t="s">
        <v>140</v>
      </c>
      <c r="F297" t="s">
        <v>82</v>
      </c>
      <c r="G297" t="s">
        <v>91</v>
      </c>
      <c r="H297">
        <v>3</v>
      </c>
      <c r="I297" s="7">
        <v>176.73</v>
      </c>
      <c r="J297" s="8">
        <v>0.2</v>
      </c>
      <c r="K297" s="7">
        <v>87.86</v>
      </c>
      <c r="L297" s="7">
        <f t="shared" si="24"/>
        <v>530.18999999999994</v>
      </c>
      <c r="M297" s="7">
        <f t="shared" si="25"/>
        <v>106.038</v>
      </c>
      <c r="N297" s="7">
        <f t="shared" si="26"/>
        <v>424.15199999999993</v>
      </c>
      <c r="O297" s="7">
        <f t="shared" si="27"/>
        <v>263.58</v>
      </c>
      <c r="P297" s="7">
        <f t="shared" si="28"/>
        <v>160.57199999999995</v>
      </c>
      <c r="Q297" s="8">
        <f t="shared" si="29"/>
        <v>0.37857183273920664</v>
      </c>
    </row>
    <row r="298" spans="1:17" ht="15" customHeight="1" x14ac:dyDescent="0.3">
      <c r="A298" t="s">
        <v>414</v>
      </c>
      <c r="B298" s="6">
        <v>45526</v>
      </c>
      <c r="C298" t="s">
        <v>77</v>
      </c>
      <c r="D298" t="s">
        <v>108</v>
      </c>
      <c r="E298" t="s">
        <v>109</v>
      </c>
      <c r="F298" t="s">
        <v>82</v>
      </c>
      <c r="G298" t="s">
        <v>87</v>
      </c>
      <c r="H298">
        <v>10</v>
      </c>
      <c r="I298" s="7">
        <v>29.85</v>
      </c>
      <c r="J298" s="8">
        <v>0.2</v>
      </c>
      <c r="K298" s="7">
        <v>16.34</v>
      </c>
      <c r="L298" s="7">
        <f t="shared" si="24"/>
        <v>298.5</v>
      </c>
      <c r="M298" s="7">
        <f t="shared" si="25"/>
        <v>59.7</v>
      </c>
      <c r="N298" s="7">
        <f t="shared" si="26"/>
        <v>238.8</v>
      </c>
      <c r="O298" s="7">
        <f t="shared" si="27"/>
        <v>163.4</v>
      </c>
      <c r="P298" s="7">
        <f t="shared" si="28"/>
        <v>75.400000000000006</v>
      </c>
      <c r="Q298" s="8">
        <f t="shared" si="29"/>
        <v>0.31574539363484089</v>
      </c>
    </row>
    <row r="299" spans="1:17" ht="15" customHeight="1" x14ac:dyDescent="0.3">
      <c r="A299" t="s">
        <v>415</v>
      </c>
      <c r="B299" s="6">
        <v>45351</v>
      </c>
      <c r="C299" t="s">
        <v>77</v>
      </c>
      <c r="D299" t="s">
        <v>117</v>
      </c>
      <c r="E299" t="s">
        <v>121</v>
      </c>
      <c r="F299" t="s">
        <v>74</v>
      </c>
      <c r="G299" t="s">
        <v>142</v>
      </c>
      <c r="H299">
        <v>2</v>
      </c>
      <c r="I299" s="7">
        <v>101.57</v>
      </c>
      <c r="J299" s="8">
        <v>0.2</v>
      </c>
      <c r="K299" s="7">
        <v>50.49</v>
      </c>
      <c r="L299" s="7">
        <f t="shared" si="24"/>
        <v>203.14</v>
      </c>
      <c r="M299" s="7">
        <f t="shared" si="25"/>
        <v>40.628</v>
      </c>
      <c r="N299" s="7">
        <f t="shared" si="26"/>
        <v>162.512</v>
      </c>
      <c r="O299" s="7">
        <f t="shared" si="27"/>
        <v>100.98</v>
      </c>
      <c r="P299" s="7">
        <f t="shared" si="28"/>
        <v>61.531999999999996</v>
      </c>
      <c r="Q299" s="8">
        <f t="shared" si="29"/>
        <v>0.37863050113222407</v>
      </c>
    </row>
    <row r="300" spans="1:17" ht="15" customHeight="1" x14ac:dyDescent="0.3">
      <c r="A300" t="s">
        <v>416</v>
      </c>
      <c r="B300" s="6">
        <v>45387</v>
      </c>
      <c r="C300" t="s">
        <v>93</v>
      </c>
      <c r="D300" t="s">
        <v>80</v>
      </c>
      <c r="E300" t="s">
        <v>159</v>
      </c>
      <c r="F300" t="s">
        <v>82</v>
      </c>
      <c r="G300" t="s">
        <v>135</v>
      </c>
      <c r="H300">
        <v>5</v>
      </c>
      <c r="I300" s="7">
        <v>217.87</v>
      </c>
      <c r="J300" s="8">
        <v>0.05</v>
      </c>
      <c r="K300" s="7">
        <v>117.37</v>
      </c>
      <c r="L300" s="7">
        <f t="shared" si="24"/>
        <v>1089.3499999999999</v>
      </c>
      <c r="M300" s="7">
        <f t="shared" si="25"/>
        <v>54.467500000000001</v>
      </c>
      <c r="N300" s="7">
        <f t="shared" si="26"/>
        <v>1034.8824999999999</v>
      </c>
      <c r="O300" s="7">
        <f t="shared" si="27"/>
        <v>586.85</v>
      </c>
      <c r="P300" s="7">
        <f t="shared" si="28"/>
        <v>448.03249999999991</v>
      </c>
      <c r="Q300" s="8">
        <f t="shared" si="29"/>
        <v>0.43293079165992271</v>
      </c>
    </row>
    <row r="301" spans="1:17" ht="15" customHeight="1" x14ac:dyDescent="0.3">
      <c r="A301" t="s">
        <v>417</v>
      </c>
      <c r="B301" s="6">
        <v>45522</v>
      </c>
      <c r="C301" t="s">
        <v>79</v>
      </c>
      <c r="D301" t="s">
        <v>108</v>
      </c>
      <c r="E301" t="s">
        <v>128</v>
      </c>
      <c r="F301" t="s">
        <v>74</v>
      </c>
      <c r="G301" t="s">
        <v>87</v>
      </c>
      <c r="H301">
        <v>12</v>
      </c>
      <c r="I301" s="7">
        <v>29.89</v>
      </c>
      <c r="J301" s="8">
        <v>0</v>
      </c>
      <c r="K301" s="7">
        <v>15.58</v>
      </c>
      <c r="L301" s="7">
        <f t="shared" si="24"/>
        <v>358.68</v>
      </c>
      <c r="M301" s="7">
        <f t="shared" si="25"/>
        <v>0</v>
      </c>
      <c r="N301" s="7">
        <f t="shared" si="26"/>
        <v>358.68</v>
      </c>
      <c r="O301" s="7">
        <f t="shared" si="27"/>
        <v>186.96</v>
      </c>
      <c r="P301" s="7">
        <f t="shared" si="28"/>
        <v>171.72</v>
      </c>
      <c r="Q301" s="8">
        <f t="shared" si="29"/>
        <v>0.47875543660086983</v>
      </c>
    </row>
    <row r="302" spans="1:17" ht="15" customHeight="1" x14ac:dyDescent="0.3">
      <c r="A302" t="s">
        <v>418</v>
      </c>
      <c r="B302" s="6">
        <v>45501</v>
      </c>
      <c r="C302" t="s">
        <v>93</v>
      </c>
      <c r="D302" t="s">
        <v>117</v>
      </c>
      <c r="E302" t="s">
        <v>140</v>
      </c>
      <c r="F302" t="s">
        <v>90</v>
      </c>
      <c r="G302" t="s">
        <v>91</v>
      </c>
      <c r="H302">
        <v>4</v>
      </c>
      <c r="I302" s="7">
        <v>149.72999999999999</v>
      </c>
      <c r="J302" s="8">
        <v>0.15</v>
      </c>
      <c r="K302" s="7">
        <v>78.19</v>
      </c>
      <c r="L302" s="7">
        <f t="shared" si="24"/>
        <v>598.91999999999996</v>
      </c>
      <c r="M302" s="7">
        <f t="shared" si="25"/>
        <v>89.837999999999994</v>
      </c>
      <c r="N302" s="7">
        <f t="shared" si="26"/>
        <v>509.08199999999999</v>
      </c>
      <c r="O302" s="7">
        <f t="shared" si="27"/>
        <v>312.76</v>
      </c>
      <c r="P302" s="7">
        <f t="shared" si="28"/>
        <v>196.322</v>
      </c>
      <c r="Q302" s="8">
        <f t="shared" si="29"/>
        <v>0.38563924868685201</v>
      </c>
    </row>
    <row r="303" spans="1:17" ht="15" customHeight="1" x14ac:dyDescent="0.3">
      <c r="A303" t="s">
        <v>419</v>
      </c>
      <c r="B303" s="6">
        <v>45308</v>
      </c>
      <c r="C303" t="s">
        <v>77</v>
      </c>
      <c r="D303" t="s">
        <v>72</v>
      </c>
      <c r="E303" t="s">
        <v>98</v>
      </c>
      <c r="F303" t="s">
        <v>74</v>
      </c>
      <c r="G303" t="s">
        <v>142</v>
      </c>
      <c r="H303">
        <v>5</v>
      </c>
      <c r="I303" s="7">
        <v>735.91</v>
      </c>
      <c r="J303" s="8">
        <v>0.1</v>
      </c>
      <c r="K303" s="7">
        <v>325.31</v>
      </c>
      <c r="L303" s="7">
        <f t="shared" si="24"/>
        <v>3679.5499999999997</v>
      </c>
      <c r="M303" s="7">
        <f t="shared" si="25"/>
        <v>367.95499999999998</v>
      </c>
      <c r="N303" s="7">
        <f t="shared" si="26"/>
        <v>3311.5949999999998</v>
      </c>
      <c r="O303" s="7">
        <f t="shared" si="27"/>
        <v>1626.55</v>
      </c>
      <c r="P303" s="7">
        <f t="shared" si="28"/>
        <v>1685.0449999999998</v>
      </c>
      <c r="Q303" s="8">
        <f t="shared" si="29"/>
        <v>0.50883184688948979</v>
      </c>
    </row>
    <row r="304" spans="1:17" ht="15" customHeight="1" x14ac:dyDescent="0.3">
      <c r="A304" t="s">
        <v>420</v>
      </c>
      <c r="B304" s="6">
        <v>45349</v>
      </c>
      <c r="C304" t="s">
        <v>102</v>
      </c>
      <c r="D304" t="s">
        <v>108</v>
      </c>
      <c r="E304" t="s">
        <v>109</v>
      </c>
      <c r="F304" t="s">
        <v>90</v>
      </c>
      <c r="G304" t="s">
        <v>114</v>
      </c>
      <c r="H304">
        <v>9</v>
      </c>
      <c r="I304" s="7">
        <v>28.95</v>
      </c>
      <c r="J304" s="8">
        <v>0.2</v>
      </c>
      <c r="K304" s="7">
        <v>17.54</v>
      </c>
      <c r="L304" s="7">
        <f t="shared" si="24"/>
        <v>260.55</v>
      </c>
      <c r="M304" s="7">
        <f t="shared" si="25"/>
        <v>52.110000000000007</v>
      </c>
      <c r="N304" s="7">
        <f t="shared" si="26"/>
        <v>208.44</v>
      </c>
      <c r="O304" s="7">
        <f t="shared" si="27"/>
        <v>157.85999999999999</v>
      </c>
      <c r="P304" s="7">
        <f t="shared" si="28"/>
        <v>50.580000000000013</v>
      </c>
      <c r="Q304" s="8">
        <f t="shared" si="29"/>
        <v>0.24265975820379973</v>
      </c>
    </row>
    <row r="305" spans="1:17" ht="15" customHeight="1" x14ac:dyDescent="0.3">
      <c r="A305" t="s">
        <v>421</v>
      </c>
      <c r="B305" s="6">
        <v>45571</v>
      </c>
      <c r="C305" t="s">
        <v>77</v>
      </c>
      <c r="D305" t="s">
        <v>85</v>
      </c>
      <c r="E305" t="s">
        <v>173</v>
      </c>
      <c r="F305" t="s">
        <v>90</v>
      </c>
      <c r="G305" t="s">
        <v>91</v>
      </c>
      <c r="H305">
        <v>4</v>
      </c>
      <c r="I305" s="7">
        <v>306.19</v>
      </c>
      <c r="J305" s="8">
        <v>0</v>
      </c>
      <c r="K305" s="7">
        <v>178.81</v>
      </c>
      <c r="L305" s="7">
        <f t="shared" si="24"/>
        <v>1224.76</v>
      </c>
      <c r="M305" s="7">
        <f t="shared" si="25"/>
        <v>0</v>
      </c>
      <c r="N305" s="7">
        <f t="shared" si="26"/>
        <v>1224.76</v>
      </c>
      <c r="O305" s="7">
        <f t="shared" si="27"/>
        <v>715.24</v>
      </c>
      <c r="P305" s="7">
        <f t="shared" si="28"/>
        <v>509.52</v>
      </c>
      <c r="Q305" s="8">
        <f t="shared" si="29"/>
        <v>0.416016199092067</v>
      </c>
    </row>
    <row r="306" spans="1:17" ht="15" customHeight="1" x14ac:dyDescent="0.3">
      <c r="A306" t="s">
        <v>422</v>
      </c>
      <c r="B306" s="6">
        <v>45470</v>
      </c>
      <c r="C306" t="s">
        <v>77</v>
      </c>
      <c r="D306" t="s">
        <v>117</v>
      </c>
      <c r="E306" t="s">
        <v>121</v>
      </c>
      <c r="F306" t="s">
        <v>82</v>
      </c>
      <c r="G306" t="s">
        <v>142</v>
      </c>
      <c r="H306">
        <v>1</v>
      </c>
      <c r="I306" s="7">
        <v>166.77</v>
      </c>
      <c r="J306" s="8">
        <v>0.15</v>
      </c>
      <c r="K306" s="7">
        <v>102.78</v>
      </c>
      <c r="L306" s="7">
        <f t="shared" si="24"/>
        <v>166.77</v>
      </c>
      <c r="M306" s="7">
        <f t="shared" si="25"/>
        <v>25.015499999999999</v>
      </c>
      <c r="N306" s="7">
        <f t="shared" si="26"/>
        <v>141.75450000000001</v>
      </c>
      <c r="O306" s="7">
        <f t="shared" si="27"/>
        <v>102.78</v>
      </c>
      <c r="P306" s="7">
        <f t="shared" si="28"/>
        <v>38.974500000000006</v>
      </c>
      <c r="Q306" s="8">
        <f t="shared" si="29"/>
        <v>0.27494365258245773</v>
      </c>
    </row>
    <row r="307" spans="1:17" ht="15" customHeight="1" x14ac:dyDescent="0.3">
      <c r="A307" t="s">
        <v>423</v>
      </c>
      <c r="B307" s="6">
        <v>45644</v>
      </c>
      <c r="C307" t="s">
        <v>79</v>
      </c>
      <c r="D307" t="s">
        <v>72</v>
      </c>
      <c r="E307" t="s">
        <v>125</v>
      </c>
      <c r="F307" t="s">
        <v>90</v>
      </c>
      <c r="G307" t="s">
        <v>83</v>
      </c>
      <c r="H307">
        <v>5</v>
      </c>
      <c r="I307" s="7">
        <v>784.4</v>
      </c>
      <c r="J307" s="8">
        <v>0.15</v>
      </c>
      <c r="K307" s="7">
        <v>346.31</v>
      </c>
      <c r="L307" s="7">
        <f t="shared" si="24"/>
        <v>3922</v>
      </c>
      <c r="M307" s="7">
        <f t="shared" si="25"/>
        <v>588.29999999999995</v>
      </c>
      <c r="N307" s="7">
        <f t="shared" si="26"/>
        <v>3333.7</v>
      </c>
      <c r="O307" s="7">
        <f t="shared" si="27"/>
        <v>1731.55</v>
      </c>
      <c r="P307" s="7">
        <f t="shared" si="28"/>
        <v>1602.1499999999999</v>
      </c>
      <c r="Q307" s="8">
        <f t="shared" si="29"/>
        <v>0.48059213486516483</v>
      </c>
    </row>
    <row r="308" spans="1:17" ht="15" customHeight="1" x14ac:dyDescent="0.3">
      <c r="A308" t="s">
        <v>424</v>
      </c>
      <c r="B308" s="6">
        <v>45471</v>
      </c>
      <c r="C308" t="s">
        <v>79</v>
      </c>
      <c r="D308" t="s">
        <v>117</v>
      </c>
      <c r="E308" t="s">
        <v>133</v>
      </c>
      <c r="F308" t="s">
        <v>74</v>
      </c>
      <c r="G308" t="s">
        <v>83</v>
      </c>
      <c r="H308">
        <v>5</v>
      </c>
      <c r="I308" s="7">
        <v>135.1</v>
      </c>
      <c r="J308" s="8">
        <v>0.2</v>
      </c>
      <c r="K308" s="7">
        <v>59.73</v>
      </c>
      <c r="L308" s="7">
        <f t="shared" si="24"/>
        <v>675.5</v>
      </c>
      <c r="M308" s="7">
        <f t="shared" si="25"/>
        <v>135.1</v>
      </c>
      <c r="N308" s="7">
        <f t="shared" si="26"/>
        <v>540.4</v>
      </c>
      <c r="O308" s="7">
        <f t="shared" si="27"/>
        <v>298.64999999999998</v>
      </c>
      <c r="P308" s="7">
        <f t="shared" si="28"/>
        <v>241.75</v>
      </c>
      <c r="Q308" s="8">
        <f t="shared" si="29"/>
        <v>0.44735381199111773</v>
      </c>
    </row>
    <row r="309" spans="1:17" ht="15" customHeight="1" x14ac:dyDescent="0.3">
      <c r="A309" t="s">
        <v>425</v>
      </c>
      <c r="B309" s="6">
        <v>45639</v>
      </c>
      <c r="C309" t="s">
        <v>93</v>
      </c>
      <c r="D309" t="s">
        <v>85</v>
      </c>
      <c r="E309" t="s">
        <v>86</v>
      </c>
      <c r="F309" t="s">
        <v>82</v>
      </c>
      <c r="G309" t="s">
        <v>114</v>
      </c>
      <c r="H309">
        <v>2</v>
      </c>
      <c r="I309" s="7">
        <v>473.25</v>
      </c>
      <c r="J309" s="8">
        <v>0.15</v>
      </c>
      <c r="K309" s="7">
        <v>298</v>
      </c>
      <c r="L309" s="7">
        <f t="shared" si="24"/>
        <v>946.5</v>
      </c>
      <c r="M309" s="7">
        <f t="shared" si="25"/>
        <v>141.97499999999999</v>
      </c>
      <c r="N309" s="7">
        <f t="shared" si="26"/>
        <v>804.52499999999998</v>
      </c>
      <c r="O309" s="7">
        <f t="shared" si="27"/>
        <v>596</v>
      </c>
      <c r="P309" s="7">
        <f t="shared" si="28"/>
        <v>208.52499999999998</v>
      </c>
      <c r="Q309" s="8">
        <f t="shared" si="29"/>
        <v>0.25919020540070226</v>
      </c>
    </row>
    <row r="310" spans="1:17" ht="15" customHeight="1" x14ac:dyDescent="0.3">
      <c r="A310" t="s">
        <v>426</v>
      </c>
      <c r="B310" s="6">
        <v>45656</v>
      </c>
      <c r="C310" t="s">
        <v>79</v>
      </c>
      <c r="D310" t="s">
        <v>85</v>
      </c>
      <c r="E310" t="s">
        <v>103</v>
      </c>
      <c r="F310" t="s">
        <v>74</v>
      </c>
      <c r="G310" t="s">
        <v>106</v>
      </c>
      <c r="H310">
        <v>2</v>
      </c>
      <c r="I310" s="7">
        <v>335.19</v>
      </c>
      <c r="J310" s="8">
        <v>0.15</v>
      </c>
      <c r="K310" s="7">
        <v>175.09</v>
      </c>
      <c r="L310" s="7">
        <f t="shared" si="24"/>
        <v>670.38</v>
      </c>
      <c r="M310" s="7">
        <f t="shared" si="25"/>
        <v>100.557</v>
      </c>
      <c r="N310" s="7">
        <f t="shared" si="26"/>
        <v>569.82299999999998</v>
      </c>
      <c r="O310" s="7">
        <f t="shared" si="27"/>
        <v>350.18</v>
      </c>
      <c r="P310" s="7">
        <f t="shared" si="28"/>
        <v>219.64299999999997</v>
      </c>
      <c r="Q310" s="8">
        <f t="shared" si="29"/>
        <v>0.38545829143435767</v>
      </c>
    </row>
    <row r="311" spans="1:17" ht="15" customHeight="1" x14ac:dyDescent="0.3">
      <c r="A311" t="s">
        <v>427</v>
      </c>
      <c r="B311" s="6">
        <v>45330</v>
      </c>
      <c r="C311" t="s">
        <v>102</v>
      </c>
      <c r="D311" t="s">
        <v>80</v>
      </c>
      <c r="E311" t="s">
        <v>89</v>
      </c>
      <c r="F311" t="s">
        <v>82</v>
      </c>
      <c r="G311" t="s">
        <v>91</v>
      </c>
      <c r="H311">
        <v>1</v>
      </c>
      <c r="I311" s="7">
        <v>241.38</v>
      </c>
      <c r="J311" s="8">
        <v>0.15</v>
      </c>
      <c r="K311" s="7">
        <v>127.67</v>
      </c>
      <c r="L311" s="7">
        <f t="shared" si="24"/>
        <v>241.38</v>
      </c>
      <c r="M311" s="7">
        <f t="shared" si="25"/>
        <v>36.207000000000001</v>
      </c>
      <c r="N311" s="7">
        <f t="shared" si="26"/>
        <v>205.173</v>
      </c>
      <c r="O311" s="7">
        <f t="shared" si="27"/>
        <v>127.67</v>
      </c>
      <c r="P311" s="7">
        <f t="shared" si="28"/>
        <v>77.503</v>
      </c>
      <c r="Q311" s="8">
        <f t="shared" si="29"/>
        <v>0.37774463501532851</v>
      </c>
    </row>
    <row r="312" spans="1:17" ht="15" customHeight="1" x14ac:dyDescent="0.3">
      <c r="A312" t="s">
        <v>428</v>
      </c>
      <c r="B312" s="6">
        <v>45589</v>
      </c>
      <c r="C312" t="s">
        <v>102</v>
      </c>
      <c r="D312" t="s">
        <v>85</v>
      </c>
      <c r="E312" t="s">
        <v>86</v>
      </c>
      <c r="F312" t="s">
        <v>82</v>
      </c>
      <c r="G312" t="s">
        <v>87</v>
      </c>
      <c r="H312">
        <v>1</v>
      </c>
      <c r="I312" s="7">
        <v>245.69</v>
      </c>
      <c r="J312" s="8">
        <v>0.15</v>
      </c>
      <c r="K312" s="7">
        <v>137.27000000000001</v>
      </c>
      <c r="L312" s="7">
        <f t="shared" si="24"/>
        <v>245.69</v>
      </c>
      <c r="M312" s="7">
        <f t="shared" si="25"/>
        <v>36.853499999999997</v>
      </c>
      <c r="N312" s="7">
        <f t="shared" si="26"/>
        <v>208.8365</v>
      </c>
      <c r="O312" s="7">
        <f t="shared" si="27"/>
        <v>137.27000000000001</v>
      </c>
      <c r="P312" s="7">
        <f t="shared" si="28"/>
        <v>71.566499999999991</v>
      </c>
      <c r="Q312" s="8">
        <f t="shared" si="29"/>
        <v>0.34269153141333047</v>
      </c>
    </row>
    <row r="313" spans="1:17" ht="15" customHeight="1" x14ac:dyDescent="0.3">
      <c r="A313" t="s">
        <v>429</v>
      </c>
      <c r="B313" s="6">
        <v>45511</v>
      </c>
      <c r="C313" t="s">
        <v>93</v>
      </c>
      <c r="D313" t="s">
        <v>85</v>
      </c>
      <c r="E313" t="s">
        <v>100</v>
      </c>
      <c r="F313" t="s">
        <v>82</v>
      </c>
      <c r="G313" t="s">
        <v>75</v>
      </c>
      <c r="H313">
        <v>4</v>
      </c>
      <c r="I313" s="7">
        <v>475.96</v>
      </c>
      <c r="J313" s="8">
        <v>0.1</v>
      </c>
      <c r="K313" s="7">
        <v>228.8</v>
      </c>
      <c r="L313" s="7">
        <f t="shared" si="24"/>
        <v>1903.84</v>
      </c>
      <c r="M313" s="7">
        <f t="shared" si="25"/>
        <v>190.38400000000001</v>
      </c>
      <c r="N313" s="7">
        <f t="shared" si="26"/>
        <v>1713.4559999999999</v>
      </c>
      <c r="O313" s="7">
        <f t="shared" si="27"/>
        <v>915.2</v>
      </c>
      <c r="P313" s="7">
        <f t="shared" si="28"/>
        <v>798.25599999999986</v>
      </c>
      <c r="Q313" s="8">
        <f t="shared" si="29"/>
        <v>0.46587481674463765</v>
      </c>
    </row>
    <row r="314" spans="1:17" ht="15" customHeight="1" x14ac:dyDescent="0.3">
      <c r="A314" t="s">
        <v>430</v>
      </c>
      <c r="B314" s="6">
        <v>45581</v>
      </c>
      <c r="C314" t="s">
        <v>93</v>
      </c>
      <c r="D314" t="s">
        <v>85</v>
      </c>
      <c r="E314" t="s">
        <v>86</v>
      </c>
      <c r="F314" t="s">
        <v>90</v>
      </c>
      <c r="G314" t="s">
        <v>106</v>
      </c>
      <c r="H314">
        <v>3</v>
      </c>
      <c r="I314" s="7">
        <v>483.68</v>
      </c>
      <c r="J314" s="8">
        <v>0</v>
      </c>
      <c r="K314" s="7">
        <v>199.03</v>
      </c>
      <c r="L314" s="7">
        <f t="shared" si="24"/>
        <v>1451.04</v>
      </c>
      <c r="M314" s="7">
        <f t="shared" si="25"/>
        <v>0</v>
      </c>
      <c r="N314" s="7">
        <f t="shared" si="26"/>
        <v>1451.04</v>
      </c>
      <c r="O314" s="7">
        <f t="shared" si="27"/>
        <v>597.09</v>
      </c>
      <c r="P314" s="7">
        <f t="shared" si="28"/>
        <v>853.94999999999993</v>
      </c>
      <c r="Q314" s="8">
        <f t="shared" si="29"/>
        <v>0.58850893152497519</v>
      </c>
    </row>
    <row r="315" spans="1:17" ht="15" customHeight="1" x14ac:dyDescent="0.3">
      <c r="A315" t="s">
        <v>431</v>
      </c>
      <c r="B315" s="6">
        <v>45525</v>
      </c>
      <c r="C315" t="s">
        <v>77</v>
      </c>
      <c r="D315" t="s">
        <v>108</v>
      </c>
      <c r="E315" t="s">
        <v>200</v>
      </c>
      <c r="F315" t="s">
        <v>74</v>
      </c>
      <c r="G315" t="s">
        <v>91</v>
      </c>
      <c r="H315">
        <v>14</v>
      </c>
      <c r="I315" s="7">
        <v>17.510000000000002</v>
      </c>
      <c r="J315" s="8">
        <v>0.05</v>
      </c>
      <c r="K315" s="7">
        <v>11.36</v>
      </c>
      <c r="L315" s="7">
        <f t="shared" si="24"/>
        <v>245.14000000000001</v>
      </c>
      <c r="M315" s="7">
        <f t="shared" si="25"/>
        <v>12.257000000000001</v>
      </c>
      <c r="N315" s="7">
        <f t="shared" si="26"/>
        <v>232.88300000000001</v>
      </c>
      <c r="O315" s="7">
        <f t="shared" si="27"/>
        <v>159.04</v>
      </c>
      <c r="P315" s="7">
        <f t="shared" si="28"/>
        <v>73.843000000000018</v>
      </c>
      <c r="Q315" s="8">
        <f t="shared" si="29"/>
        <v>0.31708196819862339</v>
      </c>
    </row>
    <row r="316" spans="1:17" ht="15" customHeight="1" x14ac:dyDescent="0.3">
      <c r="A316" t="s">
        <v>432</v>
      </c>
      <c r="B316" s="6">
        <v>45627</v>
      </c>
      <c r="C316" t="s">
        <v>79</v>
      </c>
      <c r="D316" t="s">
        <v>117</v>
      </c>
      <c r="E316" t="s">
        <v>121</v>
      </c>
      <c r="F316" t="s">
        <v>82</v>
      </c>
      <c r="G316" t="s">
        <v>94</v>
      </c>
      <c r="H316">
        <v>1</v>
      </c>
      <c r="I316" s="7">
        <v>118.6</v>
      </c>
      <c r="J316" s="8">
        <v>0.1</v>
      </c>
      <c r="K316" s="7">
        <v>67.14</v>
      </c>
      <c r="L316" s="7">
        <f t="shared" si="24"/>
        <v>118.6</v>
      </c>
      <c r="M316" s="7">
        <f t="shared" si="25"/>
        <v>11.86</v>
      </c>
      <c r="N316" s="7">
        <f t="shared" si="26"/>
        <v>106.74</v>
      </c>
      <c r="O316" s="7">
        <f t="shared" si="27"/>
        <v>67.14</v>
      </c>
      <c r="P316" s="7">
        <f t="shared" si="28"/>
        <v>39.599999999999994</v>
      </c>
      <c r="Q316" s="8">
        <f t="shared" si="29"/>
        <v>0.37099494097807756</v>
      </c>
    </row>
    <row r="317" spans="1:17" ht="15" customHeight="1" x14ac:dyDescent="0.3">
      <c r="A317" t="s">
        <v>433</v>
      </c>
      <c r="B317" s="6">
        <v>45650</v>
      </c>
      <c r="C317" t="s">
        <v>102</v>
      </c>
      <c r="D317" t="s">
        <v>117</v>
      </c>
      <c r="E317" t="s">
        <v>131</v>
      </c>
      <c r="F317" t="s">
        <v>90</v>
      </c>
      <c r="G317" t="s">
        <v>142</v>
      </c>
      <c r="H317">
        <v>4</v>
      </c>
      <c r="I317" s="7">
        <v>156.5</v>
      </c>
      <c r="J317" s="8">
        <v>0</v>
      </c>
      <c r="K317" s="7">
        <v>90.13</v>
      </c>
      <c r="L317" s="7">
        <f t="shared" si="24"/>
        <v>626</v>
      </c>
      <c r="M317" s="7">
        <f t="shared" si="25"/>
        <v>0</v>
      </c>
      <c r="N317" s="7">
        <f t="shared" si="26"/>
        <v>626</v>
      </c>
      <c r="O317" s="7">
        <f t="shared" si="27"/>
        <v>360.52</v>
      </c>
      <c r="P317" s="7">
        <f t="shared" si="28"/>
        <v>265.48</v>
      </c>
      <c r="Q317" s="8">
        <f t="shared" si="29"/>
        <v>0.42408945686900962</v>
      </c>
    </row>
    <row r="318" spans="1:17" ht="15" customHeight="1" x14ac:dyDescent="0.3">
      <c r="A318" t="s">
        <v>434</v>
      </c>
      <c r="B318" s="6">
        <v>45595</v>
      </c>
      <c r="C318" t="s">
        <v>102</v>
      </c>
      <c r="D318" t="s">
        <v>72</v>
      </c>
      <c r="E318" t="s">
        <v>125</v>
      </c>
      <c r="F318" t="s">
        <v>74</v>
      </c>
      <c r="G318" t="s">
        <v>106</v>
      </c>
      <c r="H318">
        <v>4</v>
      </c>
      <c r="I318" s="7">
        <v>704.76</v>
      </c>
      <c r="J318" s="8">
        <v>0</v>
      </c>
      <c r="K318" s="7">
        <v>283.32</v>
      </c>
      <c r="L318" s="7">
        <f t="shared" si="24"/>
        <v>2819.04</v>
      </c>
      <c r="M318" s="7">
        <f t="shared" si="25"/>
        <v>0</v>
      </c>
      <c r="N318" s="7">
        <f t="shared" si="26"/>
        <v>2819.04</v>
      </c>
      <c r="O318" s="7">
        <f t="shared" si="27"/>
        <v>1133.28</v>
      </c>
      <c r="P318" s="7">
        <f t="shared" si="28"/>
        <v>1685.76</v>
      </c>
      <c r="Q318" s="8">
        <f t="shared" si="29"/>
        <v>0.59799080538055505</v>
      </c>
    </row>
    <row r="319" spans="1:17" ht="15" customHeight="1" x14ac:dyDescent="0.3">
      <c r="A319" t="s">
        <v>435</v>
      </c>
      <c r="B319" s="6">
        <v>45536</v>
      </c>
      <c r="C319" t="s">
        <v>102</v>
      </c>
      <c r="D319" t="s">
        <v>85</v>
      </c>
      <c r="E319" t="s">
        <v>100</v>
      </c>
      <c r="F319" t="s">
        <v>90</v>
      </c>
      <c r="G319" t="s">
        <v>106</v>
      </c>
      <c r="H319">
        <v>4</v>
      </c>
      <c r="I319" s="7">
        <v>264.83</v>
      </c>
      <c r="J319" s="8">
        <v>0</v>
      </c>
      <c r="K319" s="7">
        <v>154.31</v>
      </c>
      <c r="L319" s="7">
        <f t="shared" si="24"/>
        <v>1059.32</v>
      </c>
      <c r="M319" s="7">
        <f t="shared" si="25"/>
        <v>0</v>
      </c>
      <c r="N319" s="7">
        <f t="shared" si="26"/>
        <v>1059.32</v>
      </c>
      <c r="O319" s="7">
        <f t="shared" si="27"/>
        <v>617.24</v>
      </c>
      <c r="P319" s="7">
        <f t="shared" si="28"/>
        <v>442.07999999999993</v>
      </c>
      <c r="Q319" s="8">
        <f t="shared" si="29"/>
        <v>0.41732432126269681</v>
      </c>
    </row>
    <row r="320" spans="1:17" ht="15" customHeight="1" x14ac:dyDescent="0.3">
      <c r="A320" t="s">
        <v>436</v>
      </c>
      <c r="B320" s="6">
        <v>45362</v>
      </c>
      <c r="C320" t="s">
        <v>71</v>
      </c>
      <c r="D320" t="s">
        <v>72</v>
      </c>
      <c r="E320" t="s">
        <v>73</v>
      </c>
      <c r="F320" t="s">
        <v>82</v>
      </c>
      <c r="G320" t="s">
        <v>142</v>
      </c>
      <c r="H320">
        <v>2</v>
      </c>
      <c r="I320" s="7">
        <v>804.94</v>
      </c>
      <c r="J320" s="8">
        <v>0.05</v>
      </c>
      <c r="K320" s="7">
        <v>335.74</v>
      </c>
      <c r="L320" s="7">
        <f t="shared" si="24"/>
        <v>1609.88</v>
      </c>
      <c r="M320" s="7">
        <f t="shared" si="25"/>
        <v>80.494000000000014</v>
      </c>
      <c r="N320" s="7">
        <f t="shared" si="26"/>
        <v>1529.3860000000002</v>
      </c>
      <c r="O320" s="7">
        <f t="shared" si="27"/>
        <v>671.48</v>
      </c>
      <c r="P320" s="7">
        <f t="shared" si="28"/>
        <v>857.90600000000018</v>
      </c>
      <c r="Q320" s="8">
        <f t="shared" si="29"/>
        <v>0.56094798827764869</v>
      </c>
    </row>
    <row r="321" spans="1:17" ht="15" customHeight="1" x14ac:dyDescent="0.3">
      <c r="A321" t="s">
        <v>437</v>
      </c>
      <c r="B321" s="6">
        <v>45517</v>
      </c>
      <c r="C321" t="s">
        <v>93</v>
      </c>
      <c r="D321" t="s">
        <v>80</v>
      </c>
      <c r="E321" t="s">
        <v>113</v>
      </c>
      <c r="F321" t="s">
        <v>90</v>
      </c>
      <c r="G321" t="s">
        <v>106</v>
      </c>
      <c r="H321">
        <v>2</v>
      </c>
      <c r="I321" s="7">
        <v>196.19</v>
      </c>
      <c r="J321" s="8">
        <v>0.05</v>
      </c>
      <c r="K321" s="7">
        <v>123.59</v>
      </c>
      <c r="L321" s="7">
        <f t="shared" si="24"/>
        <v>392.38</v>
      </c>
      <c r="M321" s="7">
        <f t="shared" si="25"/>
        <v>19.619</v>
      </c>
      <c r="N321" s="7">
        <f t="shared" si="26"/>
        <v>372.76099999999997</v>
      </c>
      <c r="O321" s="7">
        <f t="shared" si="27"/>
        <v>247.18</v>
      </c>
      <c r="P321" s="7">
        <f t="shared" si="28"/>
        <v>125.58099999999996</v>
      </c>
      <c r="Q321" s="8">
        <f t="shared" si="29"/>
        <v>0.33689414933429185</v>
      </c>
    </row>
    <row r="322" spans="1:17" ht="15" customHeight="1" x14ac:dyDescent="0.3">
      <c r="A322" t="s">
        <v>438</v>
      </c>
      <c r="B322" s="6">
        <v>45363</v>
      </c>
      <c r="C322" t="s">
        <v>79</v>
      </c>
      <c r="D322" t="s">
        <v>80</v>
      </c>
      <c r="E322" t="s">
        <v>81</v>
      </c>
      <c r="F322" t="s">
        <v>74</v>
      </c>
      <c r="G322" t="s">
        <v>94</v>
      </c>
      <c r="H322">
        <v>5</v>
      </c>
      <c r="I322" s="7">
        <v>260.39</v>
      </c>
      <c r="J322" s="8">
        <v>0.15</v>
      </c>
      <c r="K322" s="7">
        <v>127.04</v>
      </c>
      <c r="L322" s="7">
        <f t="shared" ref="L322:L385" si="30">H322*I322</f>
        <v>1301.9499999999998</v>
      </c>
      <c r="M322" s="7">
        <f t="shared" ref="M322:M385" si="31">L322*J322</f>
        <v>195.29249999999996</v>
      </c>
      <c r="N322" s="7">
        <f t="shared" ref="N322:N385" si="32">L322-M322</f>
        <v>1106.6574999999998</v>
      </c>
      <c r="O322" s="7">
        <f t="shared" ref="O322:O385" si="33">H322*K322</f>
        <v>635.20000000000005</v>
      </c>
      <c r="P322" s="7">
        <f t="shared" ref="P322:P385" si="34">N322-O322</f>
        <v>471.45749999999975</v>
      </c>
      <c r="Q322" s="8">
        <f t="shared" ref="Q322:Q385" si="35">IF(N322=0,0,P322/N322)</f>
        <v>0.42601934202768232</v>
      </c>
    </row>
    <row r="323" spans="1:17" ht="15" customHeight="1" x14ac:dyDescent="0.3">
      <c r="A323" t="s">
        <v>439</v>
      </c>
      <c r="B323" s="6">
        <v>45622</v>
      </c>
      <c r="C323" t="s">
        <v>79</v>
      </c>
      <c r="D323" t="s">
        <v>108</v>
      </c>
      <c r="E323" t="s">
        <v>128</v>
      </c>
      <c r="F323" t="s">
        <v>74</v>
      </c>
      <c r="G323" t="s">
        <v>142</v>
      </c>
      <c r="H323">
        <v>18</v>
      </c>
      <c r="I323" s="7">
        <v>19.18</v>
      </c>
      <c r="J323" s="8">
        <v>0.2</v>
      </c>
      <c r="K323" s="7">
        <v>10.55</v>
      </c>
      <c r="L323" s="7">
        <f t="shared" si="30"/>
        <v>345.24</v>
      </c>
      <c r="M323" s="7">
        <f t="shared" si="31"/>
        <v>69.048000000000002</v>
      </c>
      <c r="N323" s="7">
        <f t="shared" si="32"/>
        <v>276.19200000000001</v>
      </c>
      <c r="O323" s="7">
        <f t="shared" si="33"/>
        <v>189.9</v>
      </c>
      <c r="P323" s="7">
        <f t="shared" si="34"/>
        <v>86.292000000000002</v>
      </c>
      <c r="Q323" s="8">
        <f t="shared" si="35"/>
        <v>0.31243482794577687</v>
      </c>
    </row>
    <row r="324" spans="1:17" ht="15" customHeight="1" x14ac:dyDescent="0.3">
      <c r="A324" t="s">
        <v>440</v>
      </c>
      <c r="B324" s="6">
        <v>45397</v>
      </c>
      <c r="C324" t="s">
        <v>77</v>
      </c>
      <c r="D324" t="s">
        <v>80</v>
      </c>
      <c r="E324" t="s">
        <v>89</v>
      </c>
      <c r="F324" t="s">
        <v>90</v>
      </c>
      <c r="G324" t="s">
        <v>142</v>
      </c>
      <c r="H324">
        <v>5</v>
      </c>
      <c r="I324" s="7">
        <v>222.84</v>
      </c>
      <c r="J324" s="8">
        <v>0.05</v>
      </c>
      <c r="K324" s="7">
        <v>130.80000000000001</v>
      </c>
      <c r="L324" s="7">
        <f t="shared" si="30"/>
        <v>1114.2</v>
      </c>
      <c r="M324" s="7">
        <f t="shared" si="31"/>
        <v>55.710000000000008</v>
      </c>
      <c r="N324" s="7">
        <f t="shared" si="32"/>
        <v>1058.49</v>
      </c>
      <c r="O324" s="7">
        <f t="shared" si="33"/>
        <v>654</v>
      </c>
      <c r="P324" s="7">
        <f t="shared" si="34"/>
        <v>404.49</v>
      </c>
      <c r="Q324" s="8">
        <f t="shared" si="35"/>
        <v>0.38213870702604652</v>
      </c>
    </row>
    <row r="325" spans="1:17" ht="15" customHeight="1" x14ac:dyDescent="0.3">
      <c r="A325" t="s">
        <v>441</v>
      </c>
      <c r="B325" s="6">
        <v>45349</v>
      </c>
      <c r="C325" t="s">
        <v>79</v>
      </c>
      <c r="D325" t="s">
        <v>85</v>
      </c>
      <c r="E325" t="s">
        <v>100</v>
      </c>
      <c r="F325" t="s">
        <v>82</v>
      </c>
      <c r="G325" t="s">
        <v>135</v>
      </c>
      <c r="H325">
        <v>5</v>
      </c>
      <c r="I325" s="7">
        <v>312.5</v>
      </c>
      <c r="J325" s="8">
        <v>0</v>
      </c>
      <c r="K325" s="7">
        <v>166.27</v>
      </c>
      <c r="L325" s="7">
        <f t="shared" si="30"/>
        <v>1562.5</v>
      </c>
      <c r="M325" s="7">
        <f t="shared" si="31"/>
        <v>0</v>
      </c>
      <c r="N325" s="7">
        <f t="shared" si="32"/>
        <v>1562.5</v>
      </c>
      <c r="O325" s="7">
        <f t="shared" si="33"/>
        <v>831.35</v>
      </c>
      <c r="P325" s="7">
        <f t="shared" si="34"/>
        <v>731.15</v>
      </c>
      <c r="Q325" s="8">
        <f t="shared" si="35"/>
        <v>0.46793599999999996</v>
      </c>
    </row>
    <row r="326" spans="1:17" ht="15" customHeight="1" x14ac:dyDescent="0.3">
      <c r="A326" t="s">
        <v>442</v>
      </c>
      <c r="B326" s="6">
        <v>45583</v>
      </c>
      <c r="C326" t="s">
        <v>71</v>
      </c>
      <c r="D326" t="s">
        <v>72</v>
      </c>
      <c r="E326" t="s">
        <v>123</v>
      </c>
      <c r="F326" t="s">
        <v>74</v>
      </c>
      <c r="G326" t="s">
        <v>135</v>
      </c>
      <c r="H326">
        <v>5</v>
      </c>
      <c r="I326" s="7">
        <v>829.35</v>
      </c>
      <c r="J326" s="8">
        <v>0.05</v>
      </c>
      <c r="K326" s="7">
        <v>489.88</v>
      </c>
      <c r="L326" s="7">
        <f t="shared" si="30"/>
        <v>4146.75</v>
      </c>
      <c r="M326" s="7">
        <f t="shared" si="31"/>
        <v>207.33750000000001</v>
      </c>
      <c r="N326" s="7">
        <f t="shared" si="32"/>
        <v>3939.4124999999999</v>
      </c>
      <c r="O326" s="7">
        <f t="shared" si="33"/>
        <v>2449.4</v>
      </c>
      <c r="P326" s="7">
        <f t="shared" si="34"/>
        <v>1490.0124999999998</v>
      </c>
      <c r="Q326" s="8">
        <f t="shared" si="35"/>
        <v>0.37823216025232187</v>
      </c>
    </row>
    <row r="327" spans="1:17" ht="15" customHeight="1" x14ac:dyDescent="0.3">
      <c r="A327" t="s">
        <v>443</v>
      </c>
      <c r="B327" s="6">
        <v>45426</v>
      </c>
      <c r="C327" t="s">
        <v>93</v>
      </c>
      <c r="D327" t="s">
        <v>72</v>
      </c>
      <c r="E327" t="s">
        <v>73</v>
      </c>
      <c r="F327" t="s">
        <v>74</v>
      </c>
      <c r="G327" t="s">
        <v>110</v>
      </c>
      <c r="H327">
        <v>1</v>
      </c>
      <c r="I327" s="7">
        <v>698.08</v>
      </c>
      <c r="J327" s="8">
        <v>0.15</v>
      </c>
      <c r="K327" s="7">
        <v>367.65</v>
      </c>
      <c r="L327" s="7">
        <f t="shared" si="30"/>
        <v>698.08</v>
      </c>
      <c r="M327" s="7">
        <f t="shared" si="31"/>
        <v>104.712</v>
      </c>
      <c r="N327" s="7">
        <f t="shared" si="32"/>
        <v>593.36800000000005</v>
      </c>
      <c r="O327" s="7">
        <f t="shared" si="33"/>
        <v>367.65</v>
      </c>
      <c r="P327" s="7">
        <f t="shared" si="34"/>
        <v>225.71800000000007</v>
      </c>
      <c r="Q327" s="8">
        <f t="shared" si="35"/>
        <v>0.38040136980760686</v>
      </c>
    </row>
    <row r="328" spans="1:17" ht="15" customHeight="1" x14ac:dyDescent="0.3">
      <c r="A328" t="s">
        <v>444</v>
      </c>
      <c r="B328" s="6">
        <v>45334</v>
      </c>
      <c r="C328" t="s">
        <v>102</v>
      </c>
      <c r="D328" t="s">
        <v>80</v>
      </c>
      <c r="E328" t="s">
        <v>81</v>
      </c>
      <c r="F328" t="s">
        <v>90</v>
      </c>
      <c r="G328" t="s">
        <v>135</v>
      </c>
      <c r="H328">
        <v>5</v>
      </c>
      <c r="I328" s="7">
        <v>242.49</v>
      </c>
      <c r="J328" s="8">
        <v>0.2</v>
      </c>
      <c r="K328" s="7">
        <v>106.25</v>
      </c>
      <c r="L328" s="7">
        <f t="shared" si="30"/>
        <v>1212.45</v>
      </c>
      <c r="M328" s="7">
        <f t="shared" si="31"/>
        <v>242.49</v>
      </c>
      <c r="N328" s="7">
        <f t="shared" si="32"/>
        <v>969.96</v>
      </c>
      <c r="O328" s="7">
        <f t="shared" si="33"/>
        <v>531.25</v>
      </c>
      <c r="P328" s="7">
        <f t="shared" si="34"/>
        <v>438.71000000000004</v>
      </c>
      <c r="Q328" s="8">
        <f t="shared" si="35"/>
        <v>0.45229700193822425</v>
      </c>
    </row>
    <row r="329" spans="1:17" ht="15" customHeight="1" x14ac:dyDescent="0.3">
      <c r="A329" t="s">
        <v>445</v>
      </c>
      <c r="B329" s="6">
        <v>45371</v>
      </c>
      <c r="C329" t="s">
        <v>77</v>
      </c>
      <c r="D329" t="s">
        <v>72</v>
      </c>
      <c r="E329" t="s">
        <v>123</v>
      </c>
      <c r="F329" t="s">
        <v>90</v>
      </c>
      <c r="G329" t="s">
        <v>75</v>
      </c>
      <c r="H329">
        <v>4</v>
      </c>
      <c r="I329" s="7">
        <v>903.29</v>
      </c>
      <c r="J329" s="8">
        <v>0.2</v>
      </c>
      <c r="K329" s="7">
        <v>504.55</v>
      </c>
      <c r="L329" s="7">
        <f t="shared" si="30"/>
        <v>3613.16</v>
      </c>
      <c r="M329" s="7">
        <f t="shared" si="31"/>
        <v>722.63200000000006</v>
      </c>
      <c r="N329" s="7">
        <f t="shared" si="32"/>
        <v>2890.5279999999998</v>
      </c>
      <c r="O329" s="7">
        <f t="shared" si="33"/>
        <v>2018.2</v>
      </c>
      <c r="P329" s="7">
        <f t="shared" si="34"/>
        <v>872.32799999999975</v>
      </c>
      <c r="Q329" s="8">
        <f t="shared" si="35"/>
        <v>0.30178846217715233</v>
      </c>
    </row>
    <row r="330" spans="1:17" ht="15" customHeight="1" x14ac:dyDescent="0.3">
      <c r="A330" t="s">
        <v>446</v>
      </c>
      <c r="B330" s="6">
        <v>45321</v>
      </c>
      <c r="C330" t="s">
        <v>102</v>
      </c>
      <c r="D330" t="s">
        <v>72</v>
      </c>
      <c r="E330" t="s">
        <v>123</v>
      </c>
      <c r="F330" t="s">
        <v>90</v>
      </c>
      <c r="G330" t="s">
        <v>75</v>
      </c>
      <c r="H330">
        <v>4</v>
      </c>
      <c r="I330" s="7">
        <v>716.47</v>
      </c>
      <c r="J330" s="8">
        <v>0</v>
      </c>
      <c r="K330" s="7">
        <v>367.79</v>
      </c>
      <c r="L330" s="7">
        <f t="shared" si="30"/>
        <v>2865.88</v>
      </c>
      <c r="M330" s="7">
        <f t="shared" si="31"/>
        <v>0</v>
      </c>
      <c r="N330" s="7">
        <f t="shared" si="32"/>
        <v>2865.88</v>
      </c>
      <c r="O330" s="7">
        <f t="shared" si="33"/>
        <v>1471.16</v>
      </c>
      <c r="P330" s="7">
        <f t="shared" si="34"/>
        <v>1394.72</v>
      </c>
      <c r="Q330" s="8">
        <f t="shared" si="35"/>
        <v>0.48666378215417255</v>
      </c>
    </row>
    <row r="331" spans="1:17" ht="15" customHeight="1" x14ac:dyDescent="0.3">
      <c r="A331" t="s">
        <v>447</v>
      </c>
      <c r="B331" s="6">
        <v>45353</v>
      </c>
      <c r="C331" t="s">
        <v>71</v>
      </c>
      <c r="D331" t="s">
        <v>80</v>
      </c>
      <c r="E331" t="s">
        <v>113</v>
      </c>
      <c r="F331" t="s">
        <v>90</v>
      </c>
      <c r="G331" t="s">
        <v>106</v>
      </c>
      <c r="H331">
        <v>2</v>
      </c>
      <c r="I331" s="7">
        <v>142.03</v>
      </c>
      <c r="J331" s="8">
        <v>0</v>
      </c>
      <c r="K331" s="7">
        <v>62.63</v>
      </c>
      <c r="L331" s="7">
        <f t="shared" si="30"/>
        <v>284.06</v>
      </c>
      <c r="M331" s="7">
        <f t="shared" si="31"/>
        <v>0</v>
      </c>
      <c r="N331" s="7">
        <f t="shared" si="32"/>
        <v>284.06</v>
      </c>
      <c r="O331" s="7">
        <f t="shared" si="33"/>
        <v>125.26</v>
      </c>
      <c r="P331" s="7">
        <f t="shared" si="34"/>
        <v>158.80000000000001</v>
      </c>
      <c r="Q331" s="8">
        <f t="shared" si="35"/>
        <v>0.55903682320636494</v>
      </c>
    </row>
    <row r="332" spans="1:17" ht="15" customHeight="1" x14ac:dyDescent="0.3">
      <c r="A332" t="s">
        <v>448</v>
      </c>
      <c r="B332" s="6">
        <v>45377</v>
      </c>
      <c r="C332" t="s">
        <v>93</v>
      </c>
      <c r="D332" t="s">
        <v>85</v>
      </c>
      <c r="E332" t="s">
        <v>173</v>
      </c>
      <c r="F332" t="s">
        <v>90</v>
      </c>
      <c r="G332" t="s">
        <v>142</v>
      </c>
      <c r="H332">
        <v>3</v>
      </c>
      <c r="I332" s="7">
        <v>349.12</v>
      </c>
      <c r="J332" s="8">
        <v>0</v>
      </c>
      <c r="K332" s="7">
        <v>206.98</v>
      </c>
      <c r="L332" s="7">
        <f t="shared" si="30"/>
        <v>1047.3600000000001</v>
      </c>
      <c r="M332" s="7">
        <f t="shared" si="31"/>
        <v>0</v>
      </c>
      <c r="N332" s="7">
        <f t="shared" si="32"/>
        <v>1047.3600000000001</v>
      </c>
      <c r="O332" s="7">
        <f t="shared" si="33"/>
        <v>620.93999999999994</v>
      </c>
      <c r="P332" s="7">
        <f t="shared" si="34"/>
        <v>426.42000000000019</v>
      </c>
      <c r="Q332" s="8">
        <f t="shared" si="35"/>
        <v>0.40713794683776366</v>
      </c>
    </row>
    <row r="333" spans="1:17" ht="15" customHeight="1" x14ac:dyDescent="0.3">
      <c r="A333" t="s">
        <v>449</v>
      </c>
      <c r="B333" s="6">
        <v>45324</v>
      </c>
      <c r="C333" t="s">
        <v>102</v>
      </c>
      <c r="D333" t="s">
        <v>72</v>
      </c>
      <c r="E333" t="s">
        <v>123</v>
      </c>
      <c r="F333" t="s">
        <v>82</v>
      </c>
      <c r="G333" t="s">
        <v>114</v>
      </c>
      <c r="H333">
        <v>5</v>
      </c>
      <c r="I333" s="7">
        <v>728.29</v>
      </c>
      <c r="J333" s="8">
        <v>0</v>
      </c>
      <c r="K333" s="7">
        <v>381.65</v>
      </c>
      <c r="L333" s="7">
        <f t="shared" si="30"/>
        <v>3641.45</v>
      </c>
      <c r="M333" s="7">
        <f t="shared" si="31"/>
        <v>0</v>
      </c>
      <c r="N333" s="7">
        <f t="shared" si="32"/>
        <v>3641.45</v>
      </c>
      <c r="O333" s="7">
        <f t="shared" si="33"/>
        <v>1908.25</v>
      </c>
      <c r="P333" s="7">
        <f t="shared" si="34"/>
        <v>1733.1999999999998</v>
      </c>
      <c r="Q333" s="8">
        <f t="shared" si="35"/>
        <v>0.47596424501228901</v>
      </c>
    </row>
    <row r="334" spans="1:17" ht="15" customHeight="1" x14ac:dyDescent="0.3">
      <c r="A334" t="s">
        <v>450</v>
      </c>
      <c r="B334" s="6">
        <v>45377</v>
      </c>
      <c r="C334" t="s">
        <v>77</v>
      </c>
      <c r="D334" t="s">
        <v>80</v>
      </c>
      <c r="E334" t="s">
        <v>89</v>
      </c>
      <c r="F334" t="s">
        <v>82</v>
      </c>
      <c r="G334" t="s">
        <v>83</v>
      </c>
      <c r="H334">
        <v>3</v>
      </c>
      <c r="I334" s="7">
        <v>198.83</v>
      </c>
      <c r="J334" s="8">
        <v>0</v>
      </c>
      <c r="K334" s="7">
        <v>123.98</v>
      </c>
      <c r="L334" s="7">
        <f t="shared" si="30"/>
        <v>596.49</v>
      </c>
      <c r="M334" s="7">
        <f t="shared" si="31"/>
        <v>0</v>
      </c>
      <c r="N334" s="7">
        <f t="shared" si="32"/>
        <v>596.49</v>
      </c>
      <c r="O334" s="7">
        <f t="shared" si="33"/>
        <v>371.94</v>
      </c>
      <c r="P334" s="7">
        <f t="shared" si="34"/>
        <v>224.55</v>
      </c>
      <c r="Q334" s="8">
        <f t="shared" si="35"/>
        <v>0.37645224563697632</v>
      </c>
    </row>
    <row r="335" spans="1:17" ht="15" customHeight="1" x14ac:dyDescent="0.3">
      <c r="A335" t="s">
        <v>451</v>
      </c>
      <c r="B335" s="6">
        <v>45298</v>
      </c>
      <c r="C335" t="s">
        <v>93</v>
      </c>
      <c r="D335" t="s">
        <v>72</v>
      </c>
      <c r="E335" t="s">
        <v>125</v>
      </c>
      <c r="F335" t="s">
        <v>74</v>
      </c>
      <c r="G335" t="s">
        <v>110</v>
      </c>
      <c r="H335">
        <v>4</v>
      </c>
      <c r="I335" s="7">
        <v>716.51</v>
      </c>
      <c r="J335" s="8">
        <v>0.1</v>
      </c>
      <c r="K335" s="7">
        <v>355.21</v>
      </c>
      <c r="L335" s="7">
        <f t="shared" si="30"/>
        <v>2866.04</v>
      </c>
      <c r="M335" s="7">
        <f t="shared" si="31"/>
        <v>286.60399999999998</v>
      </c>
      <c r="N335" s="7">
        <f t="shared" si="32"/>
        <v>2579.4360000000001</v>
      </c>
      <c r="O335" s="7">
        <f t="shared" si="33"/>
        <v>1420.84</v>
      </c>
      <c r="P335" s="7">
        <f t="shared" si="34"/>
        <v>1158.5960000000002</v>
      </c>
      <c r="Q335" s="8">
        <f t="shared" si="35"/>
        <v>0.4491664069199624</v>
      </c>
    </row>
    <row r="336" spans="1:17" ht="15" customHeight="1" x14ac:dyDescent="0.3">
      <c r="A336" t="s">
        <v>452</v>
      </c>
      <c r="B336" s="6">
        <v>45406</v>
      </c>
      <c r="C336" t="s">
        <v>77</v>
      </c>
      <c r="D336" t="s">
        <v>117</v>
      </c>
      <c r="E336" t="s">
        <v>133</v>
      </c>
      <c r="F336" t="s">
        <v>90</v>
      </c>
      <c r="G336" t="s">
        <v>135</v>
      </c>
      <c r="H336">
        <v>4</v>
      </c>
      <c r="I336" s="7">
        <v>114.89</v>
      </c>
      <c r="J336" s="8">
        <v>0.1</v>
      </c>
      <c r="K336" s="7">
        <v>53.75</v>
      </c>
      <c r="L336" s="7">
        <f t="shared" si="30"/>
        <v>459.56</v>
      </c>
      <c r="M336" s="7">
        <f t="shared" si="31"/>
        <v>45.956000000000003</v>
      </c>
      <c r="N336" s="7">
        <f t="shared" si="32"/>
        <v>413.60399999999998</v>
      </c>
      <c r="O336" s="7">
        <f t="shared" si="33"/>
        <v>215</v>
      </c>
      <c r="P336" s="7">
        <f t="shared" si="34"/>
        <v>198.60399999999998</v>
      </c>
      <c r="Q336" s="8">
        <f t="shared" si="35"/>
        <v>0.48017910851925993</v>
      </c>
    </row>
    <row r="337" spans="1:17" ht="15" customHeight="1" x14ac:dyDescent="0.3">
      <c r="A337" t="s">
        <v>453</v>
      </c>
      <c r="B337" s="6">
        <v>45636</v>
      </c>
      <c r="C337" t="s">
        <v>71</v>
      </c>
      <c r="D337" t="s">
        <v>72</v>
      </c>
      <c r="E337" t="s">
        <v>98</v>
      </c>
      <c r="F337" t="s">
        <v>74</v>
      </c>
      <c r="G337" t="s">
        <v>114</v>
      </c>
      <c r="H337">
        <v>2</v>
      </c>
      <c r="I337" s="7">
        <v>1137.24</v>
      </c>
      <c r="J337" s="8">
        <v>0.05</v>
      </c>
      <c r="K337" s="7">
        <v>683.58</v>
      </c>
      <c r="L337" s="7">
        <f t="shared" si="30"/>
        <v>2274.48</v>
      </c>
      <c r="M337" s="7">
        <f t="shared" si="31"/>
        <v>113.724</v>
      </c>
      <c r="N337" s="7">
        <f t="shared" si="32"/>
        <v>2160.7559999999999</v>
      </c>
      <c r="O337" s="7">
        <f t="shared" si="33"/>
        <v>1367.16</v>
      </c>
      <c r="P337" s="7">
        <f t="shared" si="34"/>
        <v>793.59599999999978</v>
      </c>
      <c r="Q337" s="8">
        <f t="shared" si="35"/>
        <v>0.36727700860254459</v>
      </c>
    </row>
    <row r="338" spans="1:17" ht="15" customHeight="1" x14ac:dyDescent="0.3">
      <c r="A338" t="s">
        <v>454</v>
      </c>
      <c r="B338" s="6">
        <v>45451</v>
      </c>
      <c r="C338" t="s">
        <v>77</v>
      </c>
      <c r="D338" t="s">
        <v>72</v>
      </c>
      <c r="E338" t="s">
        <v>96</v>
      </c>
      <c r="F338" t="s">
        <v>82</v>
      </c>
      <c r="G338" t="s">
        <v>142</v>
      </c>
      <c r="H338">
        <v>5</v>
      </c>
      <c r="I338" s="7">
        <v>769.47</v>
      </c>
      <c r="J338" s="8">
        <v>0.15</v>
      </c>
      <c r="K338" s="7">
        <v>309.32</v>
      </c>
      <c r="L338" s="7">
        <f t="shared" si="30"/>
        <v>3847.3500000000004</v>
      </c>
      <c r="M338" s="7">
        <f t="shared" si="31"/>
        <v>577.10250000000008</v>
      </c>
      <c r="N338" s="7">
        <f t="shared" si="32"/>
        <v>3270.2475000000004</v>
      </c>
      <c r="O338" s="7">
        <f t="shared" si="33"/>
        <v>1546.6</v>
      </c>
      <c r="P338" s="7">
        <f t="shared" si="34"/>
        <v>1723.6475000000005</v>
      </c>
      <c r="Q338" s="8">
        <f t="shared" si="35"/>
        <v>0.52706943434709463</v>
      </c>
    </row>
    <row r="339" spans="1:17" ht="15" customHeight="1" x14ac:dyDescent="0.3">
      <c r="A339" t="s">
        <v>455</v>
      </c>
      <c r="B339" s="6">
        <v>45416</v>
      </c>
      <c r="C339" t="s">
        <v>93</v>
      </c>
      <c r="D339" t="s">
        <v>117</v>
      </c>
      <c r="E339" t="s">
        <v>121</v>
      </c>
      <c r="F339" t="s">
        <v>82</v>
      </c>
      <c r="G339" t="s">
        <v>83</v>
      </c>
      <c r="H339">
        <v>5</v>
      </c>
      <c r="I339" s="7">
        <v>128.54</v>
      </c>
      <c r="J339" s="8">
        <v>0.15</v>
      </c>
      <c r="K339" s="7">
        <v>83.48</v>
      </c>
      <c r="L339" s="7">
        <f t="shared" si="30"/>
        <v>642.69999999999993</v>
      </c>
      <c r="M339" s="7">
        <f t="shared" si="31"/>
        <v>96.404999999999987</v>
      </c>
      <c r="N339" s="7">
        <f t="shared" si="32"/>
        <v>546.29499999999996</v>
      </c>
      <c r="O339" s="7">
        <f t="shared" si="33"/>
        <v>417.40000000000003</v>
      </c>
      <c r="P339" s="7">
        <f t="shared" si="34"/>
        <v>128.89499999999992</v>
      </c>
      <c r="Q339" s="8">
        <f t="shared" si="35"/>
        <v>0.23594394969750765</v>
      </c>
    </row>
    <row r="340" spans="1:17" ht="15" customHeight="1" x14ac:dyDescent="0.3">
      <c r="A340" t="s">
        <v>456</v>
      </c>
      <c r="B340" s="6">
        <v>45501</v>
      </c>
      <c r="C340" t="s">
        <v>79</v>
      </c>
      <c r="D340" t="s">
        <v>117</v>
      </c>
      <c r="E340" t="s">
        <v>118</v>
      </c>
      <c r="F340" t="s">
        <v>74</v>
      </c>
      <c r="G340" t="s">
        <v>110</v>
      </c>
      <c r="H340">
        <v>5</v>
      </c>
      <c r="I340" s="7">
        <v>86.3</v>
      </c>
      <c r="J340" s="8">
        <v>0.1</v>
      </c>
      <c r="K340" s="7">
        <v>48.24</v>
      </c>
      <c r="L340" s="7">
        <f t="shared" si="30"/>
        <v>431.5</v>
      </c>
      <c r="M340" s="7">
        <f t="shared" si="31"/>
        <v>43.150000000000006</v>
      </c>
      <c r="N340" s="7">
        <f t="shared" si="32"/>
        <v>388.35</v>
      </c>
      <c r="O340" s="7">
        <f t="shared" si="33"/>
        <v>241.20000000000002</v>
      </c>
      <c r="P340" s="7">
        <f t="shared" si="34"/>
        <v>147.15</v>
      </c>
      <c r="Q340" s="8">
        <f t="shared" si="35"/>
        <v>0.37891077636152953</v>
      </c>
    </row>
    <row r="341" spans="1:17" ht="15" customHeight="1" x14ac:dyDescent="0.3">
      <c r="A341" t="s">
        <v>457</v>
      </c>
      <c r="B341" s="6">
        <v>45449</v>
      </c>
      <c r="C341" t="s">
        <v>77</v>
      </c>
      <c r="D341" t="s">
        <v>72</v>
      </c>
      <c r="E341" t="s">
        <v>123</v>
      </c>
      <c r="F341" t="s">
        <v>90</v>
      </c>
      <c r="G341" t="s">
        <v>135</v>
      </c>
      <c r="H341">
        <v>5</v>
      </c>
      <c r="I341" s="7">
        <v>626.53</v>
      </c>
      <c r="J341" s="8">
        <v>0.05</v>
      </c>
      <c r="K341" s="7">
        <v>316.37</v>
      </c>
      <c r="L341" s="7">
        <f t="shared" si="30"/>
        <v>3132.6499999999996</v>
      </c>
      <c r="M341" s="7">
        <f t="shared" si="31"/>
        <v>156.63249999999999</v>
      </c>
      <c r="N341" s="7">
        <f t="shared" si="32"/>
        <v>2976.0174999999995</v>
      </c>
      <c r="O341" s="7">
        <f t="shared" si="33"/>
        <v>1581.85</v>
      </c>
      <c r="P341" s="7">
        <f t="shared" si="34"/>
        <v>1394.1674999999996</v>
      </c>
      <c r="Q341" s="8">
        <f t="shared" si="35"/>
        <v>0.46846750733152603</v>
      </c>
    </row>
    <row r="342" spans="1:17" ht="15" customHeight="1" x14ac:dyDescent="0.3">
      <c r="A342" t="s">
        <v>458</v>
      </c>
      <c r="B342" s="6">
        <v>45410</v>
      </c>
      <c r="C342" t="s">
        <v>71</v>
      </c>
      <c r="D342" t="s">
        <v>72</v>
      </c>
      <c r="E342" t="s">
        <v>125</v>
      </c>
      <c r="F342" t="s">
        <v>74</v>
      </c>
      <c r="G342" t="s">
        <v>110</v>
      </c>
      <c r="H342">
        <v>5</v>
      </c>
      <c r="I342" s="7">
        <v>1134.26</v>
      </c>
      <c r="J342" s="8">
        <v>0.15</v>
      </c>
      <c r="K342" s="7">
        <v>652.44000000000005</v>
      </c>
      <c r="L342" s="7">
        <f t="shared" si="30"/>
        <v>5671.3</v>
      </c>
      <c r="M342" s="7">
        <f t="shared" si="31"/>
        <v>850.69500000000005</v>
      </c>
      <c r="N342" s="7">
        <f t="shared" si="32"/>
        <v>4820.6050000000005</v>
      </c>
      <c r="O342" s="7">
        <f t="shared" si="33"/>
        <v>3262.2000000000003</v>
      </c>
      <c r="P342" s="7">
        <f t="shared" si="34"/>
        <v>1558.4050000000002</v>
      </c>
      <c r="Q342" s="8">
        <f t="shared" si="35"/>
        <v>0.32327996174753998</v>
      </c>
    </row>
    <row r="343" spans="1:17" ht="15" customHeight="1" x14ac:dyDescent="0.3">
      <c r="A343" t="s">
        <v>459</v>
      </c>
      <c r="B343" s="6">
        <v>45550</v>
      </c>
      <c r="C343" t="s">
        <v>77</v>
      </c>
      <c r="D343" t="s">
        <v>85</v>
      </c>
      <c r="E343" t="s">
        <v>187</v>
      </c>
      <c r="F343" t="s">
        <v>90</v>
      </c>
      <c r="G343" t="s">
        <v>94</v>
      </c>
      <c r="H343">
        <v>4</v>
      </c>
      <c r="I343" s="7">
        <v>282.38</v>
      </c>
      <c r="J343" s="8">
        <v>0</v>
      </c>
      <c r="K343" s="7">
        <v>154.74</v>
      </c>
      <c r="L343" s="7">
        <f t="shared" si="30"/>
        <v>1129.52</v>
      </c>
      <c r="M343" s="7">
        <f t="shared" si="31"/>
        <v>0</v>
      </c>
      <c r="N343" s="7">
        <f t="shared" si="32"/>
        <v>1129.52</v>
      </c>
      <c r="O343" s="7">
        <f t="shared" si="33"/>
        <v>618.96</v>
      </c>
      <c r="P343" s="7">
        <f t="shared" si="34"/>
        <v>510.55999999999995</v>
      </c>
      <c r="Q343" s="8">
        <f t="shared" si="35"/>
        <v>0.45201501522770732</v>
      </c>
    </row>
    <row r="344" spans="1:17" ht="15" customHeight="1" x14ac:dyDescent="0.3">
      <c r="A344" t="s">
        <v>460</v>
      </c>
      <c r="B344" s="6">
        <v>45425</v>
      </c>
      <c r="C344" t="s">
        <v>79</v>
      </c>
      <c r="D344" t="s">
        <v>72</v>
      </c>
      <c r="E344" t="s">
        <v>96</v>
      </c>
      <c r="F344" t="s">
        <v>74</v>
      </c>
      <c r="G344" t="s">
        <v>142</v>
      </c>
      <c r="H344">
        <v>4</v>
      </c>
      <c r="I344" s="7">
        <v>1104.58</v>
      </c>
      <c r="J344" s="8">
        <v>0.1</v>
      </c>
      <c r="K344" s="7">
        <v>529.66</v>
      </c>
      <c r="L344" s="7">
        <f t="shared" si="30"/>
        <v>4418.32</v>
      </c>
      <c r="M344" s="7">
        <f t="shared" si="31"/>
        <v>441.83199999999999</v>
      </c>
      <c r="N344" s="7">
        <f t="shared" si="32"/>
        <v>3976.4879999999998</v>
      </c>
      <c r="O344" s="7">
        <f t="shared" si="33"/>
        <v>2118.64</v>
      </c>
      <c r="P344" s="7">
        <f t="shared" si="34"/>
        <v>1857.848</v>
      </c>
      <c r="Q344" s="8">
        <f t="shared" si="35"/>
        <v>0.46720825009405287</v>
      </c>
    </row>
    <row r="345" spans="1:17" ht="15" customHeight="1" x14ac:dyDescent="0.3">
      <c r="A345" t="s">
        <v>461</v>
      </c>
      <c r="B345" s="6">
        <v>45591</v>
      </c>
      <c r="C345" t="s">
        <v>77</v>
      </c>
      <c r="D345" t="s">
        <v>85</v>
      </c>
      <c r="E345" t="s">
        <v>103</v>
      </c>
      <c r="F345" t="s">
        <v>74</v>
      </c>
      <c r="G345" t="s">
        <v>106</v>
      </c>
      <c r="H345">
        <v>1</v>
      </c>
      <c r="I345" s="7">
        <v>275.51</v>
      </c>
      <c r="J345" s="8">
        <v>0.05</v>
      </c>
      <c r="K345" s="7">
        <v>141.16999999999999</v>
      </c>
      <c r="L345" s="7">
        <f t="shared" si="30"/>
        <v>275.51</v>
      </c>
      <c r="M345" s="7">
        <f t="shared" si="31"/>
        <v>13.775500000000001</v>
      </c>
      <c r="N345" s="7">
        <f t="shared" si="32"/>
        <v>261.73449999999997</v>
      </c>
      <c r="O345" s="7">
        <f t="shared" si="33"/>
        <v>141.16999999999999</v>
      </c>
      <c r="P345" s="7">
        <f t="shared" si="34"/>
        <v>120.56449999999998</v>
      </c>
      <c r="Q345" s="8">
        <f t="shared" si="35"/>
        <v>0.46063663750862038</v>
      </c>
    </row>
    <row r="346" spans="1:17" ht="15" customHeight="1" x14ac:dyDescent="0.3">
      <c r="A346" t="s">
        <v>462</v>
      </c>
      <c r="B346" s="6">
        <v>45398</v>
      </c>
      <c r="C346" t="s">
        <v>77</v>
      </c>
      <c r="D346" t="s">
        <v>85</v>
      </c>
      <c r="E346" t="s">
        <v>187</v>
      </c>
      <c r="F346" t="s">
        <v>90</v>
      </c>
      <c r="G346" t="s">
        <v>87</v>
      </c>
      <c r="H346">
        <v>4</v>
      </c>
      <c r="I346" s="7">
        <v>371.54</v>
      </c>
      <c r="J346" s="8">
        <v>0.1</v>
      </c>
      <c r="K346" s="7">
        <v>227.8</v>
      </c>
      <c r="L346" s="7">
        <f t="shared" si="30"/>
        <v>1486.16</v>
      </c>
      <c r="M346" s="7">
        <f t="shared" si="31"/>
        <v>148.61600000000001</v>
      </c>
      <c r="N346" s="7">
        <f t="shared" si="32"/>
        <v>1337.5440000000001</v>
      </c>
      <c r="O346" s="7">
        <f t="shared" si="33"/>
        <v>911.2</v>
      </c>
      <c r="P346" s="7">
        <f t="shared" si="34"/>
        <v>426.34400000000005</v>
      </c>
      <c r="Q346" s="8">
        <f t="shared" si="35"/>
        <v>0.31875138313206897</v>
      </c>
    </row>
    <row r="347" spans="1:17" ht="15" customHeight="1" x14ac:dyDescent="0.3">
      <c r="A347" t="s">
        <v>463</v>
      </c>
      <c r="B347" s="6">
        <v>45312</v>
      </c>
      <c r="C347" t="s">
        <v>71</v>
      </c>
      <c r="D347" t="s">
        <v>72</v>
      </c>
      <c r="E347" t="s">
        <v>125</v>
      </c>
      <c r="F347" t="s">
        <v>90</v>
      </c>
      <c r="G347" t="s">
        <v>83</v>
      </c>
      <c r="H347">
        <v>3</v>
      </c>
      <c r="I347" s="7">
        <v>697.61</v>
      </c>
      <c r="J347" s="8">
        <v>0.05</v>
      </c>
      <c r="K347" s="7">
        <v>294.95</v>
      </c>
      <c r="L347" s="7">
        <f t="shared" si="30"/>
        <v>2092.83</v>
      </c>
      <c r="M347" s="7">
        <f t="shared" si="31"/>
        <v>104.64150000000001</v>
      </c>
      <c r="N347" s="7">
        <f t="shared" si="32"/>
        <v>1988.1885</v>
      </c>
      <c r="O347" s="7">
        <f t="shared" si="33"/>
        <v>884.84999999999991</v>
      </c>
      <c r="P347" s="7">
        <f t="shared" si="34"/>
        <v>1103.3385000000001</v>
      </c>
      <c r="Q347" s="8">
        <f t="shared" si="35"/>
        <v>0.55494662603671641</v>
      </c>
    </row>
    <row r="348" spans="1:17" ht="15" customHeight="1" x14ac:dyDescent="0.3">
      <c r="A348" t="s">
        <v>464</v>
      </c>
      <c r="B348" s="6">
        <v>45638</v>
      </c>
      <c r="C348" t="s">
        <v>102</v>
      </c>
      <c r="D348" t="s">
        <v>117</v>
      </c>
      <c r="E348" t="s">
        <v>121</v>
      </c>
      <c r="F348" t="s">
        <v>90</v>
      </c>
      <c r="G348" t="s">
        <v>110</v>
      </c>
      <c r="H348">
        <v>2</v>
      </c>
      <c r="I348" s="7">
        <v>112.69</v>
      </c>
      <c r="J348" s="8">
        <v>0</v>
      </c>
      <c r="K348" s="7">
        <v>71.900000000000006</v>
      </c>
      <c r="L348" s="7">
        <f t="shared" si="30"/>
        <v>225.38</v>
      </c>
      <c r="M348" s="7">
        <f t="shared" si="31"/>
        <v>0</v>
      </c>
      <c r="N348" s="7">
        <f t="shared" si="32"/>
        <v>225.38</v>
      </c>
      <c r="O348" s="7">
        <f t="shared" si="33"/>
        <v>143.80000000000001</v>
      </c>
      <c r="P348" s="7">
        <f t="shared" si="34"/>
        <v>81.579999999999984</v>
      </c>
      <c r="Q348" s="8">
        <f t="shared" si="35"/>
        <v>0.36196645665098937</v>
      </c>
    </row>
    <row r="349" spans="1:17" ht="15" customHeight="1" x14ac:dyDescent="0.3">
      <c r="A349" t="s">
        <v>465</v>
      </c>
      <c r="B349" s="6">
        <v>45528</v>
      </c>
      <c r="C349" t="s">
        <v>93</v>
      </c>
      <c r="D349" t="s">
        <v>108</v>
      </c>
      <c r="E349" t="s">
        <v>109</v>
      </c>
      <c r="F349" t="s">
        <v>74</v>
      </c>
      <c r="G349" t="s">
        <v>94</v>
      </c>
      <c r="H349">
        <v>5</v>
      </c>
      <c r="I349" s="7">
        <v>19.54</v>
      </c>
      <c r="J349" s="8">
        <v>0</v>
      </c>
      <c r="K349" s="7">
        <v>7.87</v>
      </c>
      <c r="L349" s="7">
        <f t="shared" si="30"/>
        <v>97.699999999999989</v>
      </c>
      <c r="M349" s="7">
        <f t="shared" si="31"/>
        <v>0</v>
      </c>
      <c r="N349" s="7">
        <f t="shared" si="32"/>
        <v>97.699999999999989</v>
      </c>
      <c r="O349" s="7">
        <f t="shared" si="33"/>
        <v>39.35</v>
      </c>
      <c r="P349" s="7">
        <f t="shared" si="34"/>
        <v>58.349999999999987</v>
      </c>
      <c r="Q349" s="8">
        <f t="shared" si="35"/>
        <v>0.597236438075742</v>
      </c>
    </row>
    <row r="350" spans="1:17" ht="15" customHeight="1" x14ac:dyDescent="0.3">
      <c r="A350" t="s">
        <v>466</v>
      </c>
      <c r="B350" s="6">
        <v>45643</v>
      </c>
      <c r="C350" t="s">
        <v>79</v>
      </c>
      <c r="D350" t="s">
        <v>117</v>
      </c>
      <c r="E350" t="s">
        <v>133</v>
      </c>
      <c r="F350" t="s">
        <v>82</v>
      </c>
      <c r="G350" t="s">
        <v>87</v>
      </c>
      <c r="H350">
        <v>1</v>
      </c>
      <c r="I350" s="7">
        <v>144.51</v>
      </c>
      <c r="J350" s="8">
        <v>0.2</v>
      </c>
      <c r="K350" s="7">
        <v>78.98</v>
      </c>
      <c r="L350" s="7">
        <f t="shared" si="30"/>
        <v>144.51</v>
      </c>
      <c r="M350" s="7">
        <f t="shared" si="31"/>
        <v>28.902000000000001</v>
      </c>
      <c r="N350" s="7">
        <f t="shared" si="32"/>
        <v>115.60799999999999</v>
      </c>
      <c r="O350" s="7">
        <f t="shared" si="33"/>
        <v>78.98</v>
      </c>
      <c r="P350" s="7">
        <f t="shared" si="34"/>
        <v>36.627999999999986</v>
      </c>
      <c r="Q350" s="8">
        <f t="shared" si="35"/>
        <v>0.31682928517057635</v>
      </c>
    </row>
    <row r="351" spans="1:17" ht="15" customHeight="1" x14ac:dyDescent="0.3">
      <c r="A351" t="s">
        <v>467</v>
      </c>
      <c r="B351" s="6">
        <v>45357</v>
      </c>
      <c r="C351" t="s">
        <v>77</v>
      </c>
      <c r="D351" t="s">
        <v>72</v>
      </c>
      <c r="E351" t="s">
        <v>73</v>
      </c>
      <c r="F351" t="s">
        <v>74</v>
      </c>
      <c r="G351" t="s">
        <v>91</v>
      </c>
      <c r="H351">
        <v>3</v>
      </c>
      <c r="I351" s="7">
        <v>618.87</v>
      </c>
      <c r="J351" s="8">
        <v>0</v>
      </c>
      <c r="K351" s="7">
        <v>254.15</v>
      </c>
      <c r="L351" s="7">
        <f t="shared" si="30"/>
        <v>1856.6100000000001</v>
      </c>
      <c r="M351" s="7">
        <f t="shared" si="31"/>
        <v>0</v>
      </c>
      <c r="N351" s="7">
        <f t="shared" si="32"/>
        <v>1856.6100000000001</v>
      </c>
      <c r="O351" s="7">
        <f t="shared" si="33"/>
        <v>762.45</v>
      </c>
      <c r="P351" s="7">
        <f t="shared" si="34"/>
        <v>1094.1600000000001</v>
      </c>
      <c r="Q351" s="8">
        <f t="shared" si="35"/>
        <v>0.58933216992260085</v>
      </c>
    </row>
    <row r="352" spans="1:17" ht="15" customHeight="1" x14ac:dyDescent="0.3">
      <c r="A352" t="s">
        <v>468</v>
      </c>
      <c r="B352" s="6">
        <v>45494</v>
      </c>
      <c r="C352" t="s">
        <v>79</v>
      </c>
      <c r="D352" t="s">
        <v>108</v>
      </c>
      <c r="E352" t="s">
        <v>200</v>
      </c>
      <c r="F352" t="s">
        <v>90</v>
      </c>
      <c r="G352" t="s">
        <v>135</v>
      </c>
      <c r="H352">
        <v>13</v>
      </c>
      <c r="I352" s="7">
        <v>27.42</v>
      </c>
      <c r="J352" s="8">
        <v>0.15</v>
      </c>
      <c r="K352" s="7">
        <v>12.15</v>
      </c>
      <c r="L352" s="7">
        <f t="shared" si="30"/>
        <v>356.46000000000004</v>
      </c>
      <c r="M352" s="7">
        <f t="shared" si="31"/>
        <v>53.469000000000001</v>
      </c>
      <c r="N352" s="7">
        <f t="shared" si="32"/>
        <v>302.99100000000004</v>
      </c>
      <c r="O352" s="7">
        <f t="shared" si="33"/>
        <v>157.95000000000002</v>
      </c>
      <c r="P352" s="7">
        <f t="shared" si="34"/>
        <v>145.04100000000003</v>
      </c>
      <c r="Q352" s="8">
        <f t="shared" si="35"/>
        <v>0.47869738705110054</v>
      </c>
    </row>
    <row r="353" spans="1:17" ht="15" customHeight="1" x14ac:dyDescent="0.3">
      <c r="A353" t="s">
        <v>469</v>
      </c>
      <c r="B353" s="6">
        <v>45368</v>
      </c>
      <c r="C353" t="s">
        <v>71</v>
      </c>
      <c r="D353" t="s">
        <v>117</v>
      </c>
      <c r="E353" t="s">
        <v>133</v>
      </c>
      <c r="F353" t="s">
        <v>82</v>
      </c>
      <c r="G353" t="s">
        <v>91</v>
      </c>
      <c r="H353">
        <v>5</v>
      </c>
      <c r="I353" s="7">
        <v>87.33</v>
      </c>
      <c r="J353" s="8">
        <v>0.2</v>
      </c>
      <c r="K353" s="7">
        <v>40.299999999999997</v>
      </c>
      <c r="L353" s="7">
        <f t="shared" si="30"/>
        <v>436.65</v>
      </c>
      <c r="M353" s="7">
        <f t="shared" si="31"/>
        <v>87.33</v>
      </c>
      <c r="N353" s="7">
        <f t="shared" si="32"/>
        <v>349.32</v>
      </c>
      <c r="O353" s="7">
        <f t="shared" si="33"/>
        <v>201.5</v>
      </c>
      <c r="P353" s="7">
        <f t="shared" si="34"/>
        <v>147.82</v>
      </c>
      <c r="Q353" s="8">
        <f t="shared" si="35"/>
        <v>0.42316500629795029</v>
      </c>
    </row>
    <row r="354" spans="1:17" ht="15" customHeight="1" x14ac:dyDescent="0.3">
      <c r="A354" t="s">
        <v>470</v>
      </c>
      <c r="B354" s="6">
        <v>45323</v>
      </c>
      <c r="C354" t="s">
        <v>102</v>
      </c>
      <c r="D354" t="s">
        <v>85</v>
      </c>
      <c r="E354" t="s">
        <v>187</v>
      </c>
      <c r="F354" t="s">
        <v>90</v>
      </c>
      <c r="G354" t="s">
        <v>91</v>
      </c>
      <c r="H354">
        <v>4</v>
      </c>
      <c r="I354" s="7">
        <v>269.56</v>
      </c>
      <c r="J354" s="8">
        <v>0.05</v>
      </c>
      <c r="K354" s="7">
        <v>136.08000000000001</v>
      </c>
      <c r="L354" s="7">
        <f t="shared" si="30"/>
        <v>1078.24</v>
      </c>
      <c r="M354" s="7">
        <f t="shared" si="31"/>
        <v>53.912000000000006</v>
      </c>
      <c r="N354" s="7">
        <f t="shared" si="32"/>
        <v>1024.328</v>
      </c>
      <c r="O354" s="7">
        <f t="shared" si="33"/>
        <v>544.32000000000005</v>
      </c>
      <c r="P354" s="7">
        <f t="shared" si="34"/>
        <v>480.00799999999992</v>
      </c>
      <c r="Q354" s="8">
        <f t="shared" si="35"/>
        <v>0.46860771159238052</v>
      </c>
    </row>
    <row r="355" spans="1:17" ht="15" customHeight="1" x14ac:dyDescent="0.3">
      <c r="A355" t="s">
        <v>471</v>
      </c>
      <c r="B355" s="6">
        <v>45475</v>
      </c>
      <c r="C355" t="s">
        <v>93</v>
      </c>
      <c r="D355" t="s">
        <v>80</v>
      </c>
      <c r="E355" t="s">
        <v>159</v>
      </c>
      <c r="F355" t="s">
        <v>74</v>
      </c>
      <c r="G355" t="s">
        <v>135</v>
      </c>
      <c r="H355">
        <v>4</v>
      </c>
      <c r="I355" s="7">
        <v>216.75</v>
      </c>
      <c r="J355" s="8">
        <v>0.1</v>
      </c>
      <c r="K355" s="7">
        <v>136.16</v>
      </c>
      <c r="L355" s="7">
        <f t="shared" si="30"/>
        <v>867</v>
      </c>
      <c r="M355" s="7">
        <f t="shared" si="31"/>
        <v>86.7</v>
      </c>
      <c r="N355" s="7">
        <f t="shared" si="32"/>
        <v>780.3</v>
      </c>
      <c r="O355" s="7">
        <f t="shared" si="33"/>
        <v>544.64</v>
      </c>
      <c r="P355" s="7">
        <f t="shared" si="34"/>
        <v>235.65999999999997</v>
      </c>
      <c r="Q355" s="8">
        <f t="shared" si="35"/>
        <v>0.30201204664872483</v>
      </c>
    </row>
    <row r="356" spans="1:17" ht="15" customHeight="1" x14ac:dyDescent="0.3">
      <c r="A356" t="s">
        <v>472</v>
      </c>
      <c r="B356" s="6">
        <v>45305</v>
      </c>
      <c r="C356" t="s">
        <v>102</v>
      </c>
      <c r="D356" t="s">
        <v>80</v>
      </c>
      <c r="E356" t="s">
        <v>89</v>
      </c>
      <c r="F356" t="s">
        <v>82</v>
      </c>
      <c r="G356" t="s">
        <v>106</v>
      </c>
      <c r="H356">
        <v>2</v>
      </c>
      <c r="I356" s="7">
        <v>191.02</v>
      </c>
      <c r="J356" s="8">
        <v>0</v>
      </c>
      <c r="K356" s="7">
        <v>119.19</v>
      </c>
      <c r="L356" s="7">
        <f t="shared" si="30"/>
        <v>382.04</v>
      </c>
      <c r="M356" s="7">
        <f t="shared" si="31"/>
        <v>0</v>
      </c>
      <c r="N356" s="7">
        <f t="shared" si="32"/>
        <v>382.04</v>
      </c>
      <c r="O356" s="7">
        <f t="shared" si="33"/>
        <v>238.38</v>
      </c>
      <c r="P356" s="7">
        <f t="shared" si="34"/>
        <v>143.66000000000003</v>
      </c>
      <c r="Q356" s="8">
        <f t="shared" si="35"/>
        <v>0.37603392314940848</v>
      </c>
    </row>
    <row r="357" spans="1:17" ht="15" customHeight="1" x14ac:dyDescent="0.3">
      <c r="A357" t="s">
        <v>473</v>
      </c>
      <c r="B357" s="6">
        <v>45591</v>
      </c>
      <c r="C357" t="s">
        <v>102</v>
      </c>
      <c r="D357" t="s">
        <v>85</v>
      </c>
      <c r="E357" t="s">
        <v>100</v>
      </c>
      <c r="F357" t="s">
        <v>90</v>
      </c>
      <c r="G357" t="s">
        <v>87</v>
      </c>
      <c r="H357">
        <v>2</v>
      </c>
      <c r="I357" s="7">
        <v>524.89</v>
      </c>
      <c r="J357" s="8">
        <v>0</v>
      </c>
      <c r="K357" s="7">
        <v>242.48</v>
      </c>
      <c r="L357" s="7">
        <f t="shared" si="30"/>
        <v>1049.78</v>
      </c>
      <c r="M357" s="7">
        <f t="shared" si="31"/>
        <v>0</v>
      </c>
      <c r="N357" s="7">
        <f t="shared" si="32"/>
        <v>1049.78</v>
      </c>
      <c r="O357" s="7">
        <f t="shared" si="33"/>
        <v>484.96</v>
      </c>
      <c r="P357" s="7">
        <f t="shared" si="34"/>
        <v>564.81999999999994</v>
      </c>
      <c r="Q357" s="8">
        <f t="shared" si="35"/>
        <v>0.53803654098954057</v>
      </c>
    </row>
    <row r="358" spans="1:17" ht="15" customHeight="1" x14ac:dyDescent="0.3">
      <c r="A358" t="s">
        <v>474</v>
      </c>
      <c r="B358" s="6">
        <v>45404</v>
      </c>
      <c r="C358" t="s">
        <v>93</v>
      </c>
      <c r="D358" t="s">
        <v>117</v>
      </c>
      <c r="E358" t="s">
        <v>121</v>
      </c>
      <c r="F358" t="s">
        <v>90</v>
      </c>
      <c r="G358" t="s">
        <v>110</v>
      </c>
      <c r="H358">
        <v>4</v>
      </c>
      <c r="I358" s="7">
        <v>139.27000000000001</v>
      </c>
      <c r="J358" s="8">
        <v>0.1</v>
      </c>
      <c r="K358" s="7">
        <v>88.27</v>
      </c>
      <c r="L358" s="7">
        <f t="shared" si="30"/>
        <v>557.08000000000004</v>
      </c>
      <c r="M358" s="7">
        <f t="shared" si="31"/>
        <v>55.708000000000006</v>
      </c>
      <c r="N358" s="7">
        <f t="shared" si="32"/>
        <v>501.37200000000001</v>
      </c>
      <c r="O358" s="7">
        <f t="shared" si="33"/>
        <v>353.08</v>
      </c>
      <c r="P358" s="7">
        <f t="shared" si="34"/>
        <v>148.29200000000003</v>
      </c>
      <c r="Q358" s="8">
        <f t="shared" si="35"/>
        <v>0.29577240053293768</v>
      </c>
    </row>
    <row r="359" spans="1:17" ht="15" customHeight="1" x14ac:dyDescent="0.3">
      <c r="A359" t="s">
        <v>475</v>
      </c>
      <c r="B359" s="6">
        <v>45649</v>
      </c>
      <c r="C359" t="s">
        <v>79</v>
      </c>
      <c r="D359" t="s">
        <v>117</v>
      </c>
      <c r="E359" t="s">
        <v>133</v>
      </c>
      <c r="F359" t="s">
        <v>90</v>
      </c>
      <c r="G359" t="s">
        <v>87</v>
      </c>
      <c r="H359">
        <v>5</v>
      </c>
      <c r="I359" s="7">
        <v>118.44</v>
      </c>
      <c r="J359" s="8">
        <v>0</v>
      </c>
      <c r="K359" s="7">
        <v>68.209999999999994</v>
      </c>
      <c r="L359" s="7">
        <f t="shared" si="30"/>
        <v>592.20000000000005</v>
      </c>
      <c r="M359" s="7">
        <f t="shared" si="31"/>
        <v>0</v>
      </c>
      <c r="N359" s="7">
        <f t="shared" si="32"/>
        <v>592.20000000000005</v>
      </c>
      <c r="O359" s="7">
        <f t="shared" si="33"/>
        <v>341.04999999999995</v>
      </c>
      <c r="P359" s="7">
        <f t="shared" si="34"/>
        <v>251.15000000000009</v>
      </c>
      <c r="Q359" s="8">
        <f t="shared" si="35"/>
        <v>0.42409658899020614</v>
      </c>
    </row>
    <row r="360" spans="1:17" ht="15" customHeight="1" x14ac:dyDescent="0.3">
      <c r="A360" t="s">
        <v>476</v>
      </c>
      <c r="B360" s="6">
        <v>45388</v>
      </c>
      <c r="C360" t="s">
        <v>93</v>
      </c>
      <c r="D360" t="s">
        <v>85</v>
      </c>
      <c r="E360" t="s">
        <v>173</v>
      </c>
      <c r="F360" t="s">
        <v>74</v>
      </c>
      <c r="G360" t="s">
        <v>83</v>
      </c>
      <c r="H360">
        <v>4</v>
      </c>
      <c r="I360" s="7">
        <v>479.28</v>
      </c>
      <c r="J360" s="8">
        <v>0.2</v>
      </c>
      <c r="K360" s="7">
        <v>228.74</v>
      </c>
      <c r="L360" s="7">
        <f t="shared" si="30"/>
        <v>1917.12</v>
      </c>
      <c r="M360" s="7">
        <f t="shared" si="31"/>
        <v>383.42399999999998</v>
      </c>
      <c r="N360" s="7">
        <f t="shared" si="32"/>
        <v>1533.6959999999999</v>
      </c>
      <c r="O360" s="7">
        <f t="shared" si="33"/>
        <v>914.96</v>
      </c>
      <c r="P360" s="7">
        <f t="shared" si="34"/>
        <v>618.73599999999988</v>
      </c>
      <c r="Q360" s="8">
        <f t="shared" si="35"/>
        <v>0.40342805875479881</v>
      </c>
    </row>
    <row r="361" spans="1:17" ht="15" customHeight="1" x14ac:dyDescent="0.3">
      <c r="A361" t="s">
        <v>477</v>
      </c>
      <c r="B361" s="6">
        <v>45600</v>
      </c>
      <c r="C361" t="s">
        <v>77</v>
      </c>
      <c r="D361" t="s">
        <v>108</v>
      </c>
      <c r="E361" t="s">
        <v>200</v>
      </c>
      <c r="F361" t="s">
        <v>74</v>
      </c>
      <c r="G361" t="s">
        <v>75</v>
      </c>
      <c r="H361">
        <v>17</v>
      </c>
      <c r="I361" s="7">
        <v>21.88</v>
      </c>
      <c r="J361" s="8">
        <v>0.15</v>
      </c>
      <c r="K361" s="7">
        <v>8.76</v>
      </c>
      <c r="L361" s="7">
        <f t="shared" si="30"/>
        <v>371.96</v>
      </c>
      <c r="M361" s="7">
        <f t="shared" si="31"/>
        <v>55.793999999999997</v>
      </c>
      <c r="N361" s="7">
        <f t="shared" si="32"/>
        <v>316.166</v>
      </c>
      <c r="O361" s="7">
        <f t="shared" si="33"/>
        <v>148.91999999999999</v>
      </c>
      <c r="P361" s="7">
        <f t="shared" si="34"/>
        <v>167.24600000000001</v>
      </c>
      <c r="Q361" s="8">
        <f t="shared" si="35"/>
        <v>0.52898161092590601</v>
      </c>
    </row>
    <row r="362" spans="1:17" ht="15" customHeight="1" x14ac:dyDescent="0.3">
      <c r="A362" t="s">
        <v>478</v>
      </c>
      <c r="B362" s="6">
        <v>45457</v>
      </c>
      <c r="C362" t="s">
        <v>79</v>
      </c>
      <c r="D362" t="s">
        <v>80</v>
      </c>
      <c r="E362" t="s">
        <v>159</v>
      </c>
      <c r="F362" t="s">
        <v>82</v>
      </c>
      <c r="G362" t="s">
        <v>106</v>
      </c>
      <c r="H362">
        <v>2</v>
      </c>
      <c r="I362" s="7">
        <v>149.53</v>
      </c>
      <c r="J362" s="8">
        <v>0.2</v>
      </c>
      <c r="K362" s="7">
        <v>86.16</v>
      </c>
      <c r="L362" s="7">
        <f t="shared" si="30"/>
        <v>299.06</v>
      </c>
      <c r="M362" s="7">
        <f t="shared" si="31"/>
        <v>59.812000000000005</v>
      </c>
      <c r="N362" s="7">
        <f t="shared" si="32"/>
        <v>239.24799999999999</v>
      </c>
      <c r="O362" s="7">
        <f t="shared" si="33"/>
        <v>172.32</v>
      </c>
      <c r="P362" s="7">
        <f t="shared" si="34"/>
        <v>66.927999999999997</v>
      </c>
      <c r="Q362" s="8">
        <f t="shared" si="35"/>
        <v>0.27974319534541564</v>
      </c>
    </row>
    <row r="363" spans="1:17" ht="15" customHeight="1" x14ac:dyDescent="0.3">
      <c r="A363" t="s">
        <v>479</v>
      </c>
      <c r="B363" s="6">
        <v>45483</v>
      </c>
      <c r="C363" t="s">
        <v>93</v>
      </c>
      <c r="D363" t="s">
        <v>117</v>
      </c>
      <c r="E363" t="s">
        <v>131</v>
      </c>
      <c r="F363" t="s">
        <v>82</v>
      </c>
      <c r="G363" t="s">
        <v>94</v>
      </c>
      <c r="H363">
        <v>4</v>
      </c>
      <c r="I363" s="7">
        <v>151.63999999999999</v>
      </c>
      <c r="J363" s="8">
        <v>0.2</v>
      </c>
      <c r="K363" s="7">
        <v>64.489999999999995</v>
      </c>
      <c r="L363" s="7">
        <f t="shared" si="30"/>
        <v>606.55999999999995</v>
      </c>
      <c r="M363" s="7">
        <f t="shared" si="31"/>
        <v>121.312</v>
      </c>
      <c r="N363" s="7">
        <f t="shared" si="32"/>
        <v>485.24799999999993</v>
      </c>
      <c r="O363" s="7">
        <f t="shared" si="33"/>
        <v>257.95999999999998</v>
      </c>
      <c r="P363" s="7">
        <f t="shared" si="34"/>
        <v>227.28799999999995</v>
      </c>
      <c r="Q363" s="8">
        <f t="shared" si="35"/>
        <v>0.46839554207333156</v>
      </c>
    </row>
    <row r="364" spans="1:17" ht="15" customHeight="1" x14ac:dyDescent="0.3">
      <c r="A364" t="s">
        <v>480</v>
      </c>
      <c r="B364" s="6">
        <v>45619</v>
      </c>
      <c r="C364" t="s">
        <v>79</v>
      </c>
      <c r="D364" t="s">
        <v>85</v>
      </c>
      <c r="E364" t="s">
        <v>86</v>
      </c>
      <c r="F364" t="s">
        <v>74</v>
      </c>
      <c r="G364" t="s">
        <v>135</v>
      </c>
      <c r="H364">
        <v>3</v>
      </c>
      <c r="I364" s="7">
        <v>513.99</v>
      </c>
      <c r="J364" s="8">
        <v>0.05</v>
      </c>
      <c r="K364" s="7">
        <v>296.47000000000003</v>
      </c>
      <c r="L364" s="7">
        <f t="shared" si="30"/>
        <v>1541.97</v>
      </c>
      <c r="M364" s="7">
        <f t="shared" si="31"/>
        <v>77.098500000000001</v>
      </c>
      <c r="N364" s="7">
        <f t="shared" si="32"/>
        <v>1464.8715</v>
      </c>
      <c r="O364" s="7">
        <f t="shared" si="33"/>
        <v>889.41000000000008</v>
      </c>
      <c r="P364" s="7">
        <f t="shared" si="34"/>
        <v>575.46149999999989</v>
      </c>
      <c r="Q364" s="8">
        <f t="shared" si="35"/>
        <v>0.39284094202119429</v>
      </c>
    </row>
    <row r="365" spans="1:17" ht="15" customHeight="1" x14ac:dyDescent="0.3">
      <c r="A365" t="s">
        <v>481</v>
      </c>
      <c r="B365" s="6">
        <v>45381</v>
      </c>
      <c r="C365" t="s">
        <v>71</v>
      </c>
      <c r="D365" t="s">
        <v>80</v>
      </c>
      <c r="E365" t="s">
        <v>138</v>
      </c>
      <c r="F365" t="s">
        <v>74</v>
      </c>
      <c r="G365" t="s">
        <v>83</v>
      </c>
      <c r="H365">
        <v>3</v>
      </c>
      <c r="I365" s="7">
        <v>200.54</v>
      </c>
      <c r="J365" s="8">
        <v>0.05</v>
      </c>
      <c r="K365" s="7">
        <v>89.13</v>
      </c>
      <c r="L365" s="7">
        <f t="shared" si="30"/>
        <v>601.62</v>
      </c>
      <c r="M365" s="7">
        <f t="shared" si="31"/>
        <v>30.081000000000003</v>
      </c>
      <c r="N365" s="7">
        <f t="shared" si="32"/>
        <v>571.53899999999999</v>
      </c>
      <c r="O365" s="7">
        <f t="shared" si="33"/>
        <v>267.39</v>
      </c>
      <c r="P365" s="7">
        <f t="shared" si="34"/>
        <v>304.149</v>
      </c>
      <c r="Q365" s="8">
        <f t="shared" si="35"/>
        <v>0.53215791048379901</v>
      </c>
    </row>
    <row r="366" spans="1:17" ht="15" customHeight="1" x14ac:dyDescent="0.3">
      <c r="A366" t="s">
        <v>482</v>
      </c>
      <c r="B366" s="6">
        <v>45385</v>
      </c>
      <c r="C366" t="s">
        <v>102</v>
      </c>
      <c r="D366" t="s">
        <v>72</v>
      </c>
      <c r="E366" t="s">
        <v>98</v>
      </c>
      <c r="F366" t="s">
        <v>90</v>
      </c>
      <c r="G366" t="s">
        <v>110</v>
      </c>
      <c r="H366">
        <v>5</v>
      </c>
      <c r="I366" s="7">
        <v>945.53</v>
      </c>
      <c r="J366" s="8">
        <v>0.05</v>
      </c>
      <c r="K366" s="7">
        <v>529.41</v>
      </c>
      <c r="L366" s="7">
        <f t="shared" si="30"/>
        <v>4727.6499999999996</v>
      </c>
      <c r="M366" s="7">
        <f t="shared" si="31"/>
        <v>236.38249999999999</v>
      </c>
      <c r="N366" s="7">
        <f t="shared" si="32"/>
        <v>4491.2674999999999</v>
      </c>
      <c r="O366" s="7">
        <f t="shared" si="33"/>
        <v>2647.0499999999997</v>
      </c>
      <c r="P366" s="7">
        <f t="shared" si="34"/>
        <v>1844.2175000000002</v>
      </c>
      <c r="Q366" s="8">
        <f t="shared" si="35"/>
        <v>0.41062294775361302</v>
      </c>
    </row>
    <row r="367" spans="1:17" ht="15" customHeight="1" x14ac:dyDescent="0.3">
      <c r="A367" t="s">
        <v>483</v>
      </c>
      <c r="B367" s="6">
        <v>45413</v>
      </c>
      <c r="C367" t="s">
        <v>79</v>
      </c>
      <c r="D367" t="s">
        <v>72</v>
      </c>
      <c r="E367" t="s">
        <v>96</v>
      </c>
      <c r="F367" t="s">
        <v>82</v>
      </c>
      <c r="G367" t="s">
        <v>94</v>
      </c>
      <c r="H367">
        <v>3</v>
      </c>
      <c r="I367" s="7">
        <v>781.96</v>
      </c>
      <c r="J367" s="8">
        <v>0.05</v>
      </c>
      <c r="K367" s="7">
        <v>437.15</v>
      </c>
      <c r="L367" s="7">
        <f t="shared" si="30"/>
        <v>2345.88</v>
      </c>
      <c r="M367" s="7">
        <f t="shared" si="31"/>
        <v>117.29400000000001</v>
      </c>
      <c r="N367" s="7">
        <f t="shared" si="32"/>
        <v>2228.5860000000002</v>
      </c>
      <c r="O367" s="7">
        <f t="shared" si="33"/>
        <v>1311.4499999999998</v>
      </c>
      <c r="P367" s="7">
        <f t="shared" si="34"/>
        <v>917.13600000000042</v>
      </c>
      <c r="Q367" s="8">
        <f t="shared" si="35"/>
        <v>0.41153269382469437</v>
      </c>
    </row>
    <row r="368" spans="1:17" ht="15" customHeight="1" x14ac:dyDescent="0.3">
      <c r="A368" t="s">
        <v>484</v>
      </c>
      <c r="B368" s="6">
        <v>45399</v>
      </c>
      <c r="C368" t="s">
        <v>102</v>
      </c>
      <c r="D368" t="s">
        <v>72</v>
      </c>
      <c r="E368" t="s">
        <v>123</v>
      </c>
      <c r="F368" t="s">
        <v>74</v>
      </c>
      <c r="G368" t="s">
        <v>142</v>
      </c>
      <c r="H368">
        <v>1</v>
      </c>
      <c r="I368" s="7">
        <v>719.71</v>
      </c>
      <c r="J368" s="8">
        <v>0.1</v>
      </c>
      <c r="K368" s="7">
        <v>334.06</v>
      </c>
      <c r="L368" s="7">
        <f t="shared" si="30"/>
        <v>719.71</v>
      </c>
      <c r="M368" s="7">
        <f t="shared" si="31"/>
        <v>71.971000000000004</v>
      </c>
      <c r="N368" s="7">
        <f t="shared" si="32"/>
        <v>647.73900000000003</v>
      </c>
      <c r="O368" s="7">
        <f t="shared" si="33"/>
        <v>334.06</v>
      </c>
      <c r="P368" s="7">
        <f t="shared" si="34"/>
        <v>313.67900000000003</v>
      </c>
      <c r="Q368" s="8">
        <f t="shared" si="35"/>
        <v>0.48426758308516243</v>
      </c>
    </row>
    <row r="369" spans="1:17" ht="15" customHeight="1" x14ac:dyDescent="0.3">
      <c r="A369" t="s">
        <v>485</v>
      </c>
      <c r="B369" s="6">
        <v>45506</v>
      </c>
      <c r="C369" t="s">
        <v>77</v>
      </c>
      <c r="D369" t="s">
        <v>72</v>
      </c>
      <c r="E369" t="s">
        <v>73</v>
      </c>
      <c r="F369" t="s">
        <v>82</v>
      </c>
      <c r="G369" t="s">
        <v>91</v>
      </c>
      <c r="H369">
        <v>4</v>
      </c>
      <c r="I369" s="7">
        <v>1180.23</v>
      </c>
      <c r="J369" s="8">
        <v>0.15</v>
      </c>
      <c r="K369" s="7">
        <v>732.27</v>
      </c>
      <c r="L369" s="7">
        <f t="shared" si="30"/>
        <v>4720.92</v>
      </c>
      <c r="M369" s="7">
        <f t="shared" si="31"/>
        <v>708.13800000000003</v>
      </c>
      <c r="N369" s="7">
        <f t="shared" si="32"/>
        <v>4012.7820000000002</v>
      </c>
      <c r="O369" s="7">
        <f t="shared" si="33"/>
        <v>2929.08</v>
      </c>
      <c r="P369" s="7">
        <f t="shared" si="34"/>
        <v>1083.7020000000002</v>
      </c>
      <c r="Q369" s="8">
        <f t="shared" si="35"/>
        <v>0.27006251523257435</v>
      </c>
    </row>
    <row r="370" spans="1:17" ht="15" customHeight="1" x14ac:dyDescent="0.3">
      <c r="A370" t="s">
        <v>486</v>
      </c>
      <c r="B370" s="6">
        <v>45587</v>
      </c>
      <c r="C370" t="s">
        <v>102</v>
      </c>
      <c r="D370" t="s">
        <v>85</v>
      </c>
      <c r="E370" t="s">
        <v>173</v>
      </c>
      <c r="F370" t="s">
        <v>74</v>
      </c>
      <c r="G370" t="s">
        <v>91</v>
      </c>
      <c r="H370">
        <v>2</v>
      </c>
      <c r="I370" s="7">
        <v>427.27</v>
      </c>
      <c r="J370" s="8">
        <v>0.05</v>
      </c>
      <c r="K370" s="7">
        <v>219.11</v>
      </c>
      <c r="L370" s="7">
        <f t="shared" si="30"/>
        <v>854.54</v>
      </c>
      <c r="M370" s="7">
        <f t="shared" si="31"/>
        <v>42.727000000000004</v>
      </c>
      <c r="N370" s="7">
        <f t="shared" si="32"/>
        <v>811.81299999999999</v>
      </c>
      <c r="O370" s="7">
        <f t="shared" si="33"/>
        <v>438.22</v>
      </c>
      <c r="P370" s="7">
        <f t="shared" si="34"/>
        <v>373.59299999999996</v>
      </c>
      <c r="Q370" s="8">
        <f t="shared" si="35"/>
        <v>0.46019588254930627</v>
      </c>
    </row>
    <row r="371" spans="1:17" ht="15" customHeight="1" x14ac:dyDescent="0.3">
      <c r="A371" t="s">
        <v>487</v>
      </c>
      <c r="B371" s="6">
        <v>45345</v>
      </c>
      <c r="C371" t="s">
        <v>77</v>
      </c>
      <c r="D371" t="s">
        <v>72</v>
      </c>
      <c r="E371" t="s">
        <v>123</v>
      </c>
      <c r="F371" t="s">
        <v>82</v>
      </c>
      <c r="G371" t="s">
        <v>142</v>
      </c>
      <c r="H371">
        <v>2</v>
      </c>
      <c r="I371" s="7">
        <v>607.49</v>
      </c>
      <c r="J371" s="8">
        <v>0.15</v>
      </c>
      <c r="K371" s="7">
        <v>267.43</v>
      </c>
      <c r="L371" s="7">
        <f t="shared" si="30"/>
        <v>1214.98</v>
      </c>
      <c r="M371" s="7">
        <f t="shared" si="31"/>
        <v>182.24699999999999</v>
      </c>
      <c r="N371" s="7">
        <f t="shared" si="32"/>
        <v>1032.7329999999999</v>
      </c>
      <c r="O371" s="7">
        <f t="shared" si="33"/>
        <v>534.86</v>
      </c>
      <c r="P371" s="7">
        <f t="shared" si="34"/>
        <v>497.87299999999993</v>
      </c>
      <c r="Q371" s="8">
        <f t="shared" si="35"/>
        <v>0.48209266092978531</v>
      </c>
    </row>
    <row r="372" spans="1:17" ht="15" customHeight="1" x14ac:dyDescent="0.3">
      <c r="A372" t="s">
        <v>488</v>
      </c>
      <c r="B372" s="6">
        <v>45606</v>
      </c>
      <c r="C372" t="s">
        <v>77</v>
      </c>
      <c r="D372" t="s">
        <v>72</v>
      </c>
      <c r="E372" t="s">
        <v>98</v>
      </c>
      <c r="F372" t="s">
        <v>82</v>
      </c>
      <c r="G372" t="s">
        <v>83</v>
      </c>
      <c r="H372">
        <v>1</v>
      </c>
      <c r="I372" s="7">
        <v>1131.6600000000001</v>
      </c>
      <c r="J372" s="8">
        <v>0.15</v>
      </c>
      <c r="K372" s="7">
        <v>719.3</v>
      </c>
      <c r="L372" s="7">
        <f t="shared" si="30"/>
        <v>1131.6600000000001</v>
      </c>
      <c r="M372" s="7">
        <f t="shared" si="31"/>
        <v>169.749</v>
      </c>
      <c r="N372" s="7">
        <f t="shared" si="32"/>
        <v>961.91100000000006</v>
      </c>
      <c r="O372" s="7">
        <f t="shared" si="33"/>
        <v>719.3</v>
      </c>
      <c r="P372" s="7">
        <f t="shared" si="34"/>
        <v>242.6110000000001</v>
      </c>
      <c r="Q372" s="8">
        <f t="shared" si="35"/>
        <v>0.25221772076626642</v>
      </c>
    </row>
    <row r="373" spans="1:17" ht="15" customHeight="1" x14ac:dyDescent="0.3">
      <c r="A373" t="s">
        <v>489</v>
      </c>
      <c r="B373" s="6">
        <v>45343</v>
      </c>
      <c r="C373" t="s">
        <v>102</v>
      </c>
      <c r="D373" t="s">
        <v>117</v>
      </c>
      <c r="E373" t="s">
        <v>118</v>
      </c>
      <c r="F373" t="s">
        <v>74</v>
      </c>
      <c r="G373" t="s">
        <v>110</v>
      </c>
      <c r="H373">
        <v>2</v>
      </c>
      <c r="I373" s="7">
        <v>115.79</v>
      </c>
      <c r="J373" s="8">
        <v>0.15</v>
      </c>
      <c r="K373" s="7">
        <v>66.5</v>
      </c>
      <c r="L373" s="7">
        <f t="shared" si="30"/>
        <v>231.58</v>
      </c>
      <c r="M373" s="7">
        <f t="shared" si="31"/>
        <v>34.737000000000002</v>
      </c>
      <c r="N373" s="7">
        <f t="shared" si="32"/>
        <v>196.84300000000002</v>
      </c>
      <c r="O373" s="7">
        <f t="shared" si="33"/>
        <v>133</v>
      </c>
      <c r="P373" s="7">
        <f t="shared" si="34"/>
        <v>63.843000000000018</v>
      </c>
      <c r="Q373" s="8">
        <f t="shared" si="35"/>
        <v>0.32433462200840268</v>
      </c>
    </row>
    <row r="374" spans="1:17" ht="15" customHeight="1" x14ac:dyDescent="0.3">
      <c r="A374" t="s">
        <v>490</v>
      </c>
      <c r="B374" s="6">
        <v>45341</v>
      </c>
      <c r="C374" t="s">
        <v>71</v>
      </c>
      <c r="D374" t="s">
        <v>80</v>
      </c>
      <c r="E374" t="s">
        <v>89</v>
      </c>
      <c r="F374" t="s">
        <v>82</v>
      </c>
      <c r="G374" t="s">
        <v>75</v>
      </c>
      <c r="H374">
        <v>5</v>
      </c>
      <c r="I374" s="7">
        <v>147.94</v>
      </c>
      <c r="J374" s="8">
        <v>0.2</v>
      </c>
      <c r="K374" s="7">
        <v>90.24</v>
      </c>
      <c r="L374" s="7">
        <f t="shared" si="30"/>
        <v>739.7</v>
      </c>
      <c r="M374" s="7">
        <f t="shared" si="31"/>
        <v>147.94000000000003</v>
      </c>
      <c r="N374" s="7">
        <f t="shared" si="32"/>
        <v>591.76</v>
      </c>
      <c r="O374" s="7">
        <f t="shared" si="33"/>
        <v>451.2</v>
      </c>
      <c r="P374" s="7">
        <f t="shared" si="34"/>
        <v>140.56</v>
      </c>
      <c r="Q374" s="8">
        <f t="shared" si="35"/>
        <v>0.23752872786264703</v>
      </c>
    </row>
    <row r="375" spans="1:17" ht="15" customHeight="1" x14ac:dyDescent="0.3">
      <c r="A375" t="s">
        <v>491</v>
      </c>
      <c r="B375" s="6">
        <v>45336</v>
      </c>
      <c r="C375" t="s">
        <v>71</v>
      </c>
      <c r="D375" t="s">
        <v>117</v>
      </c>
      <c r="E375" t="s">
        <v>131</v>
      </c>
      <c r="F375" t="s">
        <v>74</v>
      </c>
      <c r="G375" t="s">
        <v>135</v>
      </c>
      <c r="H375">
        <v>5</v>
      </c>
      <c r="I375" s="7">
        <v>112.28</v>
      </c>
      <c r="J375" s="8">
        <v>0.15</v>
      </c>
      <c r="K375" s="7">
        <v>50.52</v>
      </c>
      <c r="L375" s="7">
        <f t="shared" si="30"/>
        <v>561.4</v>
      </c>
      <c r="M375" s="7">
        <f t="shared" si="31"/>
        <v>84.21</v>
      </c>
      <c r="N375" s="7">
        <f t="shared" si="32"/>
        <v>477.19</v>
      </c>
      <c r="O375" s="7">
        <f t="shared" si="33"/>
        <v>252.60000000000002</v>
      </c>
      <c r="P375" s="7">
        <f t="shared" si="34"/>
        <v>224.58999999999997</v>
      </c>
      <c r="Q375" s="8">
        <f t="shared" si="35"/>
        <v>0.47065110333410165</v>
      </c>
    </row>
    <row r="376" spans="1:17" ht="15" customHeight="1" x14ac:dyDescent="0.3">
      <c r="A376" t="s">
        <v>492</v>
      </c>
      <c r="B376" s="6">
        <v>45333</v>
      </c>
      <c r="C376" t="s">
        <v>79</v>
      </c>
      <c r="D376" t="s">
        <v>72</v>
      </c>
      <c r="E376" t="s">
        <v>125</v>
      </c>
      <c r="F376" t="s">
        <v>90</v>
      </c>
      <c r="G376" t="s">
        <v>142</v>
      </c>
      <c r="H376">
        <v>1</v>
      </c>
      <c r="I376" s="7">
        <v>863.09</v>
      </c>
      <c r="J376" s="8">
        <v>0.1</v>
      </c>
      <c r="K376" s="7">
        <v>514.59</v>
      </c>
      <c r="L376" s="7">
        <f t="shared" si="30"/>
        <v>863.09</v>
      </c>
      <c r="M376" s="7">
        <f t="shared" si="31"/>
        <v>86.309000000000012</v>
      </c>
      <c r="N376" s="7">
        <f t="shared" si="32"/>
        <v>776.78100000000006</v>
      </c>
      <c r="O376" s="7">
        <f t="shared" si="33"/>
        <v>514.59</v>
      </c>
      <c r="P376" s="7">
        <f t="shared" si="34"/>
        <v>262.19100000000003</v>
      </c>
      <c r="Q376" s="8">
        <f t="shared" si="35"/>
        <v>0.33753528986934545</v>
      </c>
    </row>
    <row r="377" spans="1:17" ht="15" customHeight="1" x14ac:dyDescent="0.3">
      <c r="A377" t="s">
        <v>493</v>
      </c>
      <c r="B377" s="6">
        <v>45490</v>
      </c>
      <c r="C377" t="s">
        <v>71</v>
      </c>
      <c r="D377" t="s">
        <v>108</v>
      </c>
      <c r="E377" t="s">
        <v>162</v>
      </c>
      <c r="F377" t="s">
        <v>74</v>
      </c>
      <c r="G377" t="s">
        <v>114</v>
      </c>
      <c r="H377">
        <v>13</v>
      </c>
      <c r="I377" s="7">
        <v>21.2</v>
      </c>
      <c r="J377" s="8">
        <v>0.1</v>
      </c>
      <c r="K377" s="7">
        <v>9.4700000000000006</v>
      </c>
      <c r="L377" s="7">
        <f t="shared" si="30"/>
        <v>275.59999999999997</v>
      </c>
      <c r="M377" s="7">
        <f t="shared" si="31"/>
        <v>27.56</v>
      </c>
      <c r="N377" s="7">
        <f t="shared" si="32"/>
        <v>248.03999999999996</v>
      </c>
      <c r="O377" s="7">
        <f t="shared" si="33"/>
        <v>123.11000000000001</v>
      </c>
      <c r="P377" s="7">
        <f t="shared" si="34"/>
        <v>124.92999999999995</v>
      </c>
      <c r="Q377" s="8">
        <f t="shared" si="35"/>
        <v>0.50366876310272524</v>
      </c>
    </row>
    <row r="378" spans="1:17" ht="15" customHeight="1" x14ac:dyDescent="0.3">
      <c r="A378" t="s">
        <v>494</v>
      </c>
      <c r="B378" s="6">
        <v>45407</v>
      </c>
      <c r="C378" t="s">
        <v>102</v>
      </c>
      <c r="D378" t="s">
        <v>72</v>
      </c>
      <c r="E378" t="s">
        <v>123</v>
      </c>
      <c r="F378" t="s">
        <v>82</v>
      </c>
      <c r="G378" t="s">
        <v>142</v>
      </c>
      <c r="H378">
        <v>5</v>
      </c>
      <c r="I378" s="7">
        <v>1095.73</v>
      </c>
      <c r="J378" s="8">
        <v>0</v>
      </c>
      <c r="K378" s="7">
        <v>479.69</v>
      </c>
      <c r="L378" s="7">
        <f t="shared" si="30"/>
        <v>5478.65</v>
      </c>
      <c r="M378" s="7">
        <f t="shared" si="31"/>
        <v>0</v>
      </c>
      <c r="N378" s="7">
        <f t="shared" si="32"/>
        <v>5478.65</v>
      </c>
      <c r="O378" s="7">
        <f t="shared" si="33"/>
        <v>2398.4499999999998</v>
      </c>
      <c r="P378" s="7">
        <f t="shared" si="34"/>
        <v>3080.2</v>
      </c>
      <c r="Q378" s="8">
        <f t="shared" si="35"/>
        <v>0.56221879477608538</v>
      </c>
    </row>
    <row r="379" spans="1:17" ht="15" customHeight="1" x14ac:dyDescent="0.3">
      <c r="A379" t="s">
        <v>495</v>
      </c>
      <c r="B379" s="6">
        <v>45593</v>
      </c>
      <c r="C379" t="s">
        <v>71</v>
      </c>
      <c r="D379" t="s">
        <v>72</v>
      </c>
      <c r="E379" t="s">
        <v>73</v>
      </c>
      <c r="F379" t="s">
        <v>90</v>
      </c>
      <c r="G379" t="s">
        <v>135</v>
      </c>
      <c r="H379">
        <v>1</v>
      </c>
      <c r="I379" s="7">
        <v>705.61</v>
      </c>
      <c r="J379" s="8">
        <v>0.15</v>
      </c>
      <c r="K379" s="7">
        <v>426.61</v>
      </c>
      <c r="L379" s="7">
        <f t="shared" si="30"/>
        <v>705.61</v>
      </c>
      <c r="M379" s="7">
        <f t="shared" si="31"/>
        <v>105.8415</v>
      </c>
      <c r="N379" s="7">
        <f t="shared" si="32"/>
        <v>599.76850000000002</v>
      </c>
      <c r="O379" s="7">
        <f t="shared" si="33"/>
        <v>426.61</v>
      </c>
      <c r="P379" s="7">
        <f t="shared" si="34"/>
        <v>173.1585</v>
      </c>
      <c r="Q379" s="8">
        <f t="shared" si="35"/>
        <v>0.28870889351474777</v>
      </c>
    </row>
    <row r="380" spans="1:17" ht="15" customHeight="1" x14ac:dyDescent="0.3">
      <c r="A380" t="s">
        <v>496</v>
      </c>
      <c r="B380" s="6">
        <v>45535</v>
      </c>
      <c r="C380" t="s">
        <v>102</v>
      </c>
      <c r="D380" t="s">
        <v>108</v>
      </c>
      <c r="E380" t="s">
        <v>109</v>
      </c>
      <c r="F380" t="s">
        <v>90</v>
      </c>
      <c r="G380" t="s">
        <v>75</v>
      </c>
      <c r="H380">
        <v>13</v>
      </c>
      <c r="I380" s="7">
        <v>23.48</v>
      </c>
      <c r="J380" s="8">
        <v>0</v>
      </c>
      <c r="K380" s="7">
        <v>12.34</v>
      </c>
      <c r="L380" s="7">
        <f t="shared" si="30"/>
        <v>305.24</v>
      </c>
      <c r="M380" s="7">
        <f t="shared" si="31"/>
        <v>0</v>
      </c>
      <c r="N380" s="7">
        <f t="shared" si="32"/>
        <v>305.24</v>
      </c>
      <c r="O380" s="7">
        <f t="shared" si="33"/>
        <v>160.41999999999999</v>
      </c>
      <c r="P380" s="7">
        <f t="shared" si="34"/>
        <v>144.82000000000002</v>
      </c>
      <c r="Q380" s="8">
        <f t="shared" si="35"/>
        <v>0.47444633730834757</v>
      </c>
    </row>
    <row r="381" spans="1:17" ht="15" customHeight="1" x14ac:dyDescent="0.3">
      <c r="A381" t="s">
        <v>497</v>
      </c>
      <c r="B381" s="6">
        <v>45521</v>
      </c>
      <c r="C381" t="s">
        <v>93</v>
      </c>
      <c r="D381" t="s">
        <v>80</v>
      </c>
      <c r="E381" t="s">
        <v>138</v>
      </c>
      <c r="F381" t="s">
        <v>74</v>
      </c>
      <c r="G381" t="s">
        <v>94</v>
      </c>
      <c r="H381">
        <v>2</v>
      </c>
      <c r="I381" s="7">
        <v>167.66</v>
      </c>
      <c r="J381" s="8">
        <v>0.05</v>
      </c>
      <c r="K381" s="7">
        <v>100.95</v>
      </c>
      <c r="L381" s="7">
        <f t="shared" si="30"/>
        <v>335.32</v>
      </c>
      <c r="M381" s="7">
        <f t="shared" si="31"/>
        <v>16.766000000000002</v>
      </c>
      <c r="N381" s="7">
        <f t="shared" si="32"/>
        <v>318.55399999999997</v>
      </c>
      <c r="O381" s="7">
        <f t="shared" si="33"/>
        <v>201.9</v>
      </c>
      <c r="P381" s="7">
        <f t="shared" si="34"/>
        <v>116.65399999999997</v>
      </c>
      <c r="Q381" s="8">
        <f t="shared" si="35"/>
        <v>0.36619850951487026</v>
      </c>
    </row>
    <row r="382" spans="1:17" ht="15" customHeight="1" x14ac:dyDescent="0.3">
      <c r="A382" t="s">
        <v>498</v>
      </c>
      <c r="B382" s="6">
        <v>45395</v>
      </c>
      <c r="C382" t="s">
        <v>102</v>
      </c>
      <c r="D382" t="s">
        <v>117</v>
      </c>
      <c r="E382" t="s">
        <v>131</v>
      </c>
      <c r="F382" t="s">
        <v>74</v>
      </c>
      <c r="G382" t="s">
        <v>135</v>
      </c>
      <c r="H382">
        <v>2</v>
      </c>
      <c r="I382" s="7">
        <v>179.74</v>
      </c>
      <c r="J382" s="8">
        <v>0.2</v>
      </c>
      <c r="K382" s="7">
        <v>83.48</v>
      </c>
      <c r="L382" s="7">
        <f t="shared" si="30"/>
        <v>359.48</v>
      </c>
      <c r="M382" s="7">
        <f t="shared" si="31"/>
        <v>71.896000000000001</v>
      </c>
      <c r="N382" s="7">
        <f t="shared" si="32"/>
        <v>287.584</v>
      </c>
      <c r="O382" s="7">
        <f t="shared" si="33"/>
        <v>166.96</v>
      </c>
      <c r="P382" s="7">
        <f t="shared" si="34"/>
        <v>120.624</v>
      </c>
      <c r="Q382" s="8">
        <f t="shared" si="35"/>
        <v>0.41943918994102591</v>
      </c>
    </row>
    <row r="383" spans="1:17" ht="15" customHeight="1" x14ac:dyDescent="0.3">
      <c r="A383" t="s">
        <v>499</v>
      </c>
      <c r="B383" s="6">
        <v>45574</v>
      </c>
      <c r="C383" t="s">
        <v>102</v>
      </c>
      <c r="D383" t="s">
        <v>72</v>
      </c>
      <c r="E383" t="s">
        <v>73</v>
      </c>
      <c r="F383" t="s">
        <v>90</v>
      </c>
      <c r="G383" t="s">
        <v>135</v>
      </c>
      <c r="H383">
        <v>3</v>
      </c>
      <c r="I383" s="7">
        <v>768.72</v>
      </c>
      <c r="J383" s="8">
        <v>0.2</v>
      </c>
      <c r="K383" s="7">
        <v>395.54</v>
      </c>
      <c r="L383" s="7">
        <f t="shared" si="30"/>
        <v>2306.16</v>
      </c>
      <c r="M383" s="7">
        <f t="shared" si="31"/>
        <v>461.23199999999997</v>
      </c>
      <c r="N383" s="7">
        <f t="shared" si="32"/>
        <v>1844.9279999999999</v>
      </c>
      <c r="O383" s="7">
        <f t="shared" si="33"/>
        <v>1186.6200000000001</v>
      </c>
      <c r="P383" s="7">
        <f t="shared" si="34"/>
        <v>658.30799999999977</v>
      </c>
      <c r="Q383" s="8">
        <f t="shared" si="35"/>
        <v>0.35682042876469966</v>
      </c>
    </row>
    <row r="384" spans="1:17" ht="15" customHeight="1" x14ac:dyDescent="0.3">
      <c r="A384" t="s">
        <v>500</v>
      </c>
      <c r="B384" s="6">
        <v>45349</v>
      </c>
      <c r="C384" t="s">
        <v>93</v>
      </c>
      <c r="D384" t="s">
        <v>72</v>
      </c>
      <c r="E384" t="s">
        <v>98</v>
      </c>
      <c r="F384" t="s">
        <v>90</v>
      </c>
      <c r="G384" t="s">
        <v>135</v>
      </c>
      <c r="H384">
        <v>2</v>
      </c>
      <c r="I384" s="7">
        <v>825.24</v>
      </c>
      <c r="J384" s="8">
        <v>0.2</v>
      </c>
      <c r="K384" s="7">
        <v>451.39</v>
      </c>
      <c r="L384" s="7">
        <f t="shared" si="30"/>
        <v>1650.48</v>
      </c>
      <c r="M384" s="7">
        <f t="shared" si="31"/>
        <v>330.096</v>
      </c>
      <c r="N384" s="7">
        <f t="shared" si="32"/>
        <v>1320.384</v>
      </c>
      <c r="O384" s="7">
        <f t="shared" si="33"/>
        <v>902.78</v>
      </c>
      <c r="P384" s="7">
        <f t="shared" si="34"/>
        <v>417.60400000000004</v>
      </c>
      <c r="Q384" s="8">
        <f t="shared" si="35"/>
        <v>0.31627465949299599</v>
      </c>
    </row>
    <row r="385" spans="1:17" ht="15" customHeight="1" x14ac:dyDescent="0.3">
      <c r="A385" t="s">
        <v>501</v>
      </c>
      <c r="B385" s="6">
        <v>45566</v>
      </c>
      <c r="C385" t="s">
        <v>93</v>
      </c>
      <c r="D385" t="s">
        <v>72</v>
      </c>
      <c r="E385" t="s">
        <v>73</v>
      </c>
      <c r="F385" t="s">
        <v>74</v>
      </c>
      <c r="G385" t="s">
        <v>142</v>
      </c>
      <c r="H385">
        <v>4</v>
      </c>
      <c r="I385" s="7">
        <v>1123.29</v>
      </c>
      <c r="J385" s="8">
        <v>0.1</v>
      </c>
      <c r="K385" s="7">
        <v>556.88</v>
      </c>
      <c r="L385" s="7">
        <f t="shared" si="30"/>
        <v>4493.16</v>
      </c>
      <c r="M385" s="7">
        <f t="shared" si="31"/>
        <v>449.31600000000003</v>
      </c>
      <c r="N385" s="7">
        <f t="shared" si="32"/>
        <v>4043.8440000000001</v>
      </c>
      <c r="O385" s="7">
        <f t="shared" si="33"/>
        <v>2227.52</v>
      </c>
      <c r="P385" s="7">
        <f t="shared" si="34"/>
        <v>1816.3240000000001</v>
      </c>
      <c r="Q385" s="8">
        <f t="shared" si="35"/>
        <v>0.44915778155636077</v>
      </c>
    </row>
    <row r="386" spans="1:17" ht="15" customHeight="1" x14ac:dyDescent="0.3">
      <c r="A386" t="s">
        <v>502</v>
      </c>
      <c r="B386" s="6">
        <v>45380</v>
      </c>
      <c r="C386" t="s">
        <v>93</v>
      </c>
      <c r="D386" t="s">
        <v>108</v>
      </c>
      <c r="E386" t="s">
        <v>109</v>
      </c>
      <c r="F386" t="s">
        <v>82</v>
      </c>
      <c r="G386" t="s">
        <v>110</v>
      </c>
      <c r="H386">
        <v>5</v>
      </c>
      <c r="I386" s="7">
        <v>23.01</v>
      </c>
      <c r="J386" s="8">
        <v>0.2</v>
      </c>
      <c r="K386" s="7">
        <v>12.71</v>
      </c>
      <c r="L386" s="7">
        <f t="shared" ref="L386:L449" si="36">H386*I386</f>
        <v>115.05000000000001</v>
      </c>
      <c r="M386" s="7">
        <f t="shared" ref="M386:M449" si="37">L386*J386</f>
        <v>23.010000000000005</v>
      </c>
      <c r="N386" s="7">
        <f t="shared" ref="N386:N449" si="38">L386-M386</f>
        <v>92.04</v>
      </c>
      <c r="O386" s="7">
        <f t="shared" ref="O386:O449" si="39">H386*K386</f>
        <v>63.550000000000004</v>
      </c>
      <c r="P386" s="7">
        <f t="shared" ref="P386:P449" si="40">N386-O386</f>
        <v>28.490000000000002</v>
      </c>
      <c r="Q386" s="8">
        <f t="shared" ref="Q386:Q449" si="41">IF(N386=0,0,P386/N386)</f>
        <v>0.30953933072577139</v>
      </c>
    </row>
    <row r="387" spans="1:17" ht="15" customHeight="1" x14ac:dyDescent="0.3">
      <c r="A387" t="s">
        <v>503</v>
      </c>
      <c r="B387" s="6">
        <v>45317</v>
      </c>
      <c r="C387" t="s">
        <v>102</v>
      </c>
      <c r="D387" t="s">
        <v>108</v>
      </c>
      <c r="E387" t="s">
        <v>200</v>
      </c>
      <c r="F387" t="s">
        <v>82</v>
      </c>
      <c r="G387" t="s">
        <v>75</v>
      </c>
      <c r="H387">
        <v>9</v>
      </c>
      <c r="I387" s="7">
        <v>32.409999999999997</v>
      </c>
      <c r="J387" s="8">
        <v>0.1</v>
      </c>
      <c r="K387" s="7">
        <v>13.13</v>
      </c>
      <c r="L387" s="7">
        <f t="shared" si="36"/>
        <v>291.68999999999994</v>
      </c>
      <c r="M387" s="7">
        <f t="shared" si="37"/>
        <v>29.168999999999997</v>
      </c>
      <c r="N387" s="7">
        <f t="shared" si="38"/>
        <v>262.52099999999996</v>
      </c>
      <c r="O387" s="7">
        <f t="shared" si="39"/>
        <v>118.17</v>
      </c>
      <c r="P387" s="7">
        <f t="shared" si="40"/>
        <v>144.35099999999994</v>
      </c>
      <c r="Q387" s="8">
        <f t="shared" si="41"/>
        <v>0.54986458226199031</v>
      </c>
    </row>
    <row r="388" spans="1:17" ht="15" customHeight="1" x14ac:dyDescent="0.3">
      <c r="A388" t="s">
        <v>504</v>
      </c>
      <c r="B388" s="6">
        <v>45408</v>
      </c>
      <c r="C388" t="s">
        <v>71</v>
      </c>
      <c r="D388" t="s">
        <v>85</v>
      </c>
      <c r="E388" t="s">
        <v>86</v>
      </c>
      <c r="F388" t="s">
        <v>82</v>
      </c>
      <c r="G388" t="s">
        <v>94</v>
      </c>
      <c r="H388">
        <v>4</v>
      </c>
      <c r="I388" s="7">
        <v>282.63</v>
      </c>
      <c r="J388" s="8">
        <v>0.1</v>
      </c>
      <c r="K388" s="7">
        <v>132.09</v>
      </c>
      <c r="L388" s="7">
        <f t="shared" si="36"/>
        <v>1130.52</v>
      </c>
      <c r="M388" s="7">
        <f t="shared" si="37"/>
        <v>113.05200000000001</v>
      </c>
      <c r="N388" s="7">
        <f t="shared" si="38"/>
        <v>1017.468</v>
      </c>
      <c r="O388" s="7">
        <f t="shared" si="39"/>
        <v>528.36</v>
      </c>
      <c r="P388" s="7">
        <f t="shared" si="40"/>
        <v>489.10799999999995</v>
      </c>
      <c r="Q388" s="8">
        <f t="shared" si="41"/>
        <v>0.48071094127776004</v>
      </c>
    </row>
    <row r="389" spans="1:17" ht="15" customHeight="1" x14ac:dyDescent="0.3">
      <c r="A389" t="s">
        <v>505</v>
      </c>
      <c r="B389" s="6">
        <v>45400</v>
      </c>
      <c r="C389" t="s">
        <v>77</v>
      </c>
      <c r="D389" t="s">
        <v>108</v>
      </c>
      <c r="E389" t="s">
        <v>109</v>
      </c>
      <c r="F389" t="s">
        <v>74</v>
      </c>
      <c r="G389" t="s">
        <v>91</v>
      </c>
      <c r="H389">
        <v>14</v>
      </c>
      <c r="I389" s="7">
        <v>35.770000000000003</v>
      </c>
      <c r="J389" s="8">
        <v>0.15</v>
      </c>
      <c r="K389" s="7">
        <v>21.1</v>
      </c>
      <c r="L389" s="7">
        <f t="shared" si="36"/>
        <v>500.78000000000003</v>
      </c>
      <c r="M389" s="7">
        <f t="shared" si="37"/>
        <v>75.117000000000004</v>
      </c>
      <c r="N389" s="7">
        <f t="shared" si="38"/>
        <v>425.66300000000001</v>
      </c>
      <c r="O389" s="7">
        <f t="shared" si="39"/>
        <v>295.40000000000003</v>
      </c>
      <c r="P389" s="7">
        <f t="shared" si="40"/>
        <v>130.26299999999998</v>
      </c>
      <c r="Q389" s="8">
        <f t="shared" si="41"/>
        <v>0.30602377937476355</v>
      </c>
    </row>
    <row r="390" spans="1:17" ht="15" customHeight="1" x14ac:dyDescent="0.3">
      <c r="A390" t="s">
        <v>506</v>
      </c>
      <c r="B390" s="6">
        <v>45451</v>
      </c>
      <c r="C390" t="s">
        <v>93</v>
      </c>
      <c r="D390" t="s">
        <v>85</v>
      </c>
      <c r="E390" t="s">
        <v>100</v>
      </c>
      <c r="F390" t="s">
        <v>74</v>
      </c>
      <c r="G390" t="s">
        <v>94</v>
      </c>
      <c r="H390">
        <v>4</v>
      </c>
      <c r="I390" s="7">
        <v>443.68</v>
      </c>
      <c r="J390" s="8">
        <v>0.05</v>
      </c>
      <c r="K390" s="7">
        <v>264.05</v>
      </c>
      <c r="L390" s="7">
        <f t="shared" si="36"/>
        <v>1774.72</v>
      </c>
      <c r="M390" s="7">
        <f t="shared" si="37"/>
        <v>88.736000000000004</v>
      </c>
      <c r="N390" s="7">
        <f t="shared" si="38"/>
        <v>1685.9839999999999</v>
      </c>
      <c r="O390" s="7">
        <f t="shared" si="39"/>
        <v>1056.2</v>
      </c>
      <c r="P390" s="7">
        <f t="shared" si="40"/>
        <v>629.78399999999988</v>
      </c>
      <c r="Q390" s="8">
        <f t="shared" si="41"/>
        <v>0.3735409114202744</v>
      </c>
    </row>
    <row r="391" spans="1:17" ht="15" customHeight="1" x14ac:dyDescent="0.3">
      <c r="A391" t="s">
        <v>507</v>
      </c>
      <c r="B391" s="6">
        <v>45394</v>
      </c>
      <c r="C391" t="s">
        <v>77</v>
      </c>
      <c r="D391" t="s">
        <v>80</v>
      </c>
      <c r="E391" t="s">
        <v>138</v>
      </c>
      <c r="F391" t="s">
        <v>74</v>
      </c>
      <c r="G391" t="s">
        <v>75</v>
      </c>
      <c r="H391">
        <v>2</v>
      </c>
      <c r="I391" s="7">
        <v>273.92</v>
      </c>
      <c r="J391" s="8">
        <v>0</v>
      </c>
      <c r="K391" s="7">
        <v>140.83000000000001</v>
      </c>
      <c r="L391" s="7">
        <f t="shared" si="36"/>
        <v>547.84</v>
      </c>
      <c r="M391" s="7">
        <f t="shared" si="37"/>
        <v>0</v>
      </c>
      <c r="N391" s="7">
        <f t="shared" si="38"/>
        <v>547.84</v>
      </c>
      <c r="O391" s="7">
        <f t="shared" si="39"/>
        <v>281.66000000000003</v>
      </c>
      <c r="P391" s="7">
        <f t="shared" si="40"/>
        <v>266.18</v>
      </c>
      <c r="Q391" s="8">
        <f t="shared" si="41"/>
        <v>0.48587178738317754</v>
      </c>
    </row>
    <row r="392" spans="1:17" ht="15" customHeight="1" x14ac:dyDescent="0.3">
      <c r="A392" t="s">
        <v>508</v>
      </c>
      <c r="B392" s="6">
        <v>45550</v>
      </c>
      <c r="C392" t="s">
        <v>71</v>
      </c>
      <c r="D392" t="s">
        <v>85</v>
      </c>
      <c r="E392" t="s">
        <v>103</v>
      </c>
      <c r="F392" t="s">
        <v>82</v>
      </c>
      <c r="G392" t="s">
        <v>91</v>
      </c>
      <c r="H392">
        <v>1</v>
      </c>
      <c r="I392" s="7">
        <v>356.14</v>
      </c>
      <c r="J392" s="8">
        <v>0</v>
      </c>
      <c r="K392" s="7">
        <v>164</v>
      </c>
      <c r="L392" s="7">
        <f t="shared" si="36"/>
        <v>356.14</v>
      </c>
      <c r="M392" s="7">
        <f t="shared" si="37"/>
        <v>0</v>
      </c>
      <c r="N392" s="7">
        <f t="shared" si="38"/>
        <v>356.14</v>
      </c>
      <c r="O392" s="7">
        <f t="shared" si="39"/>
        <v>164</v>
      </c>
      <c r="P392" s="7">
        <f t="shared" si="40"/>
        <v>192.14</v>
      </c>
      <c r="Q392" s="8">
        <f t="shared" si="41"/>
        <v>0.53950693547481321</v>
      </c>
    </row>
    <row r="393" spans="1:17" ht="15" customHeight="1" x14ac:dyDescent="0.3">
      <c r="A393" t="s">
        <v>509</v>
      </c>
      <c r="B393" s="6">
        <v>45592</v>
      </c>
      <c r="C393" t="s">
        <v>102</v>
      </c>
      <c r="D393" t="s">
        <v>108</v>
      </c>
      <c r="E393" t="s">
        <v>109</v>
      </c>
      <c r="F393" t="s">
        <v>74</v>
      </c>
      <c r="G393" t="s">
        <v>91</v>
      </c>
      <c r="H393">
        <v>12</v>
      </c>
      <c r="I393" s="7">
        <v>28.53</v>
      </c>
      <c r="J393" s="8">
        <v>0.05</v>
      </c>
      <c r="K393" s="7">
        <v>17.39</v>
      </c>
      <c r="L393" s="7">
        <f t="shared" si="36"/>
        <v>342.36</v>
      </c>
      <c r="M393" s="7">
        <f t="shared" si="37"/>
        <v>17.118000000000002</v>
      </c>
      <c r="N393" s="7">
        <f t="shared" si="38"/>
        <v>325.24200000000002</v>
      </c>
      <c r="O393" s="7">
        <f t="shared" si="39"/>
        <v>208.68</v>
      </c>
      <c r="P393" s="7">
        <f t="shared" si="40"/>
        <v>116.56200000000001</v>
      </c>
      <c r="Q393" s="8">
        <f t="shared" si="41"/>
        <v>0.3583854483738263</v>
      </c>
    </row>
    <row r="394" spans="1:17" ht="15" customHeight="1" x14ac:dyDescent="0.3">
      <c r="A394" t="s">
        <v>510</v>
      </c>
      <c r="B394" s="6">
        <v>45317</v>
      </c>
      <c r="C394" t="s">
        <v>71</v>
      </c>
      <c r="D394" t="s">
        <v>85</v>
      </c>
      <c r="E394" t="s">
        <v>100</v>
      </c>
      <c r="F394" t="s">
        <v>74</v>
      </c>
      <c r="G394" t="s">
        <v>135</v>
      </c>
      <c r="H394">
        <v>5</v>
      </c>
      <c r="I394" s="7">
        <v>290.61</v>
      </c>
      <c r="J394" s="8">
        <v>0.05</v>
      </c>
      <c r="K394" s="7">
        <v>178.52</v>
      </c>
      <c r="L394" s="7">
        <f t="shared" si="36"/>
        <v>1453.0500000000002</v>
      </c>
      <c r="M394" s="7">
        <f t="shared" si="37"/>
        <v>72.652500000000018</v>
      </c>
      <c r="N394" s="7">
        <f t="shared" si="38"/>
        <v>1380.3975000000003</v>
      </c>
      <c r="O394" s="7">
        <f t="shared" si="39"/>
        <v>892.6</v>
      </c>
      <c r="P394" s="7">
        <f t="shared" si="40"/>
        <v>487.79750000000024</v>
      </c>
      <c r="Q394" s="8">
        <f t="shared" si="41"/>
        <v>0.35337466200858819</v>
      </c>
    </row>
    <row r="395" spans="1:17" ht="15" customHeight="1" x14ac:dyDescent="0.3">
      <c r="A395" t="s">
        <v>511</v>
      </c>
      <c r="B395" s="6">
        <v>45554</v>
      </c>
      <c r="C395" t="s">
        <v>71</v>
      </c>
      <c r="D395" t="s">
        <v>117</v>
      </c>
      <c r="E395" t="s">
        <v>133</v>
      </c>
      <c r="F395" t="s">
        <v>90</v>
      </c>
      <c r="G395" t="s">
        <v>135</v>
      </c>
      <c r="H395">
        <v>1</v>
      </c>
      <c r="I395" s="7">
        <v>85.93</v>
      </c>
      <c r="J395" s="8">
        <v>0.15</v>
      </c>
      <c r="K395" s="7">
        <v>53.95</v>
      </c>
      <c r="L395" s="7">
        <f t="shared" si="36"/>
        <v>85.93</v>
      </c>
      <c r="M395" s="7">
        <f t="shared" si="37"/>
        <v>12.8895</v>
      </c>
      <c r="N395" s="7">
        <f t="shared" si="38"/>
        <v>73.040500000000009</v>
      </c>
      <c r="O395" s="7">
        <f t="shared" si="39"/>
        <v>53.95</v>
      </c>
      <c r="P395" s="7">
        <f t="shared" si="40"/>
        <v>19.090500000000006</v>
      </c>
      <c r="Q395" s="8">
        <f t="shared" si="41"/>
        <v>0.26136869271157787</v>
      </c>
    </row>
    <row r="396" spans="1:17" ht="15" customHeight="1" x14ac:dyDescent="0.3">
      <c r="A396" t="s">
        <v>512</v>
      </c>
      <c r="B396" s="6">
        <v>45603</v>
      </c>
      <c r="C396" t="s">
        <v>77</v>
      </c>
      <c r="D396" t="s">
        <v>117</v>
      </c>
      <c r="E396" t="s">
        <v>118</v>
      </c>
      <c r="F396" t="s">
        <v>74</v>
      </c>
      <c r="G396" t="s">
        <v>142</v>
      </c>
      <c r="H396">
        <v>3</v>
      </c>
      <c r="I396" s="7">
        <v>161.29</v>
      </c>
      <c r="J396" s="8">
        <v>0.1</v>
      </c>
      <c r="K396" s="7">
        <v>81.599999999999994</v>
      </c>
      <c r="L396" s="7">
        <f t="shared" si="36"/>
        <v>483.87</v>
      </c>
      <c r="M396" s="7">
        <f t="shared" si="37"/>
        <v>48.387</v>
      </c>
      <c r="N396" s="7">
        <f t="shared" si="38"/>
        <v>435.483</v>
      </c>
      <c r="O396" s="7">
        <f t="shared" si="39"/>
        <v>244.79999999999998</v>
      </c>
      <c r="P396" s="7">
        <f t="shared" si="40"/>
        <v>190.68300000000002</v>
      </c>
      <c r="Q396" s="8">
        <f t="shared" si="41"/>
        <v>0.43786554239775149</v>
      </c>
    </row>
    <row r="397" spans="1:17" ht="15" customHeight="1" x14ac:dyDescent="0.3">
      <c r="A397" t="s">
        <v>513</v>
      </c>
      <c r="B397" s="6">
        <v>45530</v>
      </c>
      <c r="C397" t="s">
        <v>102</v>
      </c>
      <c r="D397" t="s">
        <v>108</v>
      </c>
      <c r="E397" t="s">
        <v>128</v>
      </c>
      <c r="F397" t="s">
        <v>82</v>
      </c>
      <c r="G397" t="s">
        <v>75</v>
      </c>
      <c r="H397">
        <v>17</v>
      </c>
      <c r="I397" s="7">
        <v>23.54</v>
      </c>
      <c r="J397" s="8">
        <v>0.2</v>
      </c>
      <c r="K397" s="7">
        <v>11.75</v>
      </c>
      <c r="L397" s="7">
        <f t="shared" si="36"/>
        <v>400.18</v>
      </c>
      <c r="M397" s="7">
        <f t="shared" si="37"/>
        <v>80.036000000000001</v>
      </c>
      <c r="N397" s="7">
        <f t="shared" si="38"/>
        <v>320.14400000000001</v>
      </c>
      <c r="O397" s="7">
        <f t="shared" si="39"/>
        <v>199.75</v>
      </c>
      <c r="P397" s="7">
        <f t="shared" si="40"/>
        <v>120.39400000000001</v>
      </c>
      <c r="Q397" s="8">
        <f t="shared" si="41"/>
        <v>0.37606202209005951</v>
      </c>
    </row>
    <row r="398" spans="1:17" ht="15" customHeight="1" x14ac:dyDescent="0.3">
      <c r="A398" t="s">
        <v>514</v>
      </c>
      <c r="B398" s="6">
        <v>45579</v>
      </c>
      <c r="C398" t="s">
        <v>93</v>
      </c>
      <c r="D398" t="s">
        <v>72</v>
      </c>
      <c r="E398" t="s">
        <v>73</v>
      </c>
      <c r="F398" t="s">
        <v>90</v>
      </c>
      <c r="G398" t="s">
        <v>87</v>
      </c>
      <c r="H398">
        <v>5</v>
      </c>
      <c r="I398" s="7">
        <v>974.3</v>
      </c>
      <c r="J398" s="8">
        <v>0.1</v>
      </c>
      <c r="K398" s="7">
        <v>462.42</v>
      </c>
      <c r="L398" s="7">
        <f t="shared" si="36"/>
        <v>4871.5</v>
      </c>
      <c r="M398" s="7">
        <f t="shared" si="37"/>
        <v>487.15000000000003</v>
      </c>
      <c r="N398" s="7">
        <f t="shared" si="38"/>
        <v>4384.3500000000004</v>
      </c>
      <c r="O398" s="7">
        <f t="shared" si="39"/>
        <v>2312.1</v>
      </c>
      <c r="P398" s="7">
        <f t="shared" si="40"/>
        <v>2072.2500000000005</v>
      </c>
      <c r="Q398" s="8">
        <f t="shared" si="41"/>
        <v>0.47264702863594382</v>
      </c>
    </row>
    <row r="399" spans="1:17" ht="15" customHeight="1" x14ac:dyDescent="0.3">
      <c r="A399" t="s">
        <v>515</v>
      </c>
      <c r="B399" s="6">
        <v>45619</v>
      </c>
      <c r="C399" t="s">
        <v>77</v>
      </c>
      <c r="D399" t="s">
        <v>72</v>
      </c>
      <c r="E399" t="s">
        <v>96</v>
      </c>
      <c r="F399" t="s">
        <v>82</v>
      </c>
      <c r="G399" t="s">
        <v>142</v>
      </c>
      <c r="H399">
        <v>3</v>
      </c>
      <c r="I399" s="7">
        <v>768.09</v>
      </c>
      <c r="J399" s="8">
        <v>0.1</v>
      </c>
      <c r="K399" s="7">
        <v>433.23</v>
      </c>
      <c r="L399" s="7">
        <f t="shared" si="36"/>
        <v>2304.27</v>
      </c>
      <c r="M399" s="7">
        <f t="shared" si="37"/>
        <v>230.42700000000002</v>
      </c>
      <c r="N399" s="7">
        <f t="shared" si="38"/>
        <v>2073.8429999999998</v>
      </c>
      <c r="O399" s="7">
        <f t="shared" si="39"/>
        <v>1299.69</v>
      </c>
      <c r="P399" s="7">
        <f t="shared" si="40"/>
        <v>774.15299999999979</v>
      </c>
      <c r="Q399" s="8">
        <f t="shared" si="41"/>
        <v>0.37329392822889673</v>
      </c>
    </row>
    <row r="400" spans="1:17" ht="15" customHeight="1" x14ac:dyDescent="0.3">
      <c r="A400" t="s">
        <v>516</v>
      </c>
      <c r="B400" s="6">
        <v>45321</v>
      </c>
      <c r="C400" t="s">
        <v>79</v>
      </c>
      <c r="D400" t="s">
        <v>85</v>
      </c>
      <c r="E400" t="s">
        <v>103</v>
      </c>
      <c r="F400" t="s">
        <v>90</v>
      </c>
      <c r="G400" t="s">
        <v>75</v>
      </c>
      <c r="H400">
        <v>5</v>
      </c>
      <c r="I400" s="7">
        <v>470.52</v>
      </c>
      <c r="J400" s="8">
        <v>0.15</v>
      </c>
      <c r="K400" s="7">
        <v>265.91000000000003</v>
      </c>
      <c r="L400" s="7">
        <f t="shared" si="36"/>
        <v>2352.6</v>
      </c>
      <c r="M400" s="7">
        <f t="shared" si="37"/>
        <v>352.89</v>
      </c>
      <c r="N400" s="7">
        <f t="shared" si="38"/>
        <v>1999.71</v>
      </c>
      <c r="O400" s="7">
        <f t="shared" si="39"/>
        <v>1329.5500000000002</v>
      </c>
      <c r="P400" s="7">
        <f t="shared" si="40"/>
        <v>670.15999999999985</v>
      </c>
      <c r="Q400" s="8">
        <f t="shared" si="41"/>
        <v>0.33512859364607861</v>
      </c>
    </row>
    <row r="401" spans="1:17" ht="15" customHeight="1" x14ac:dyDescent="0.3">
      <c r="A401" t="s">
        <v>517</v>
      </c>
      <c r="B401" s="6">
        <v>45506</v>
      </c>
      <c r="C401" t="s">
        <v>102</v>
      </c>
      <c r="D401" t="s">
        <v>117</v>
      </c>
      <c r="E401" t="s">
        <v>131</v>
      </c>
      <c r="F401" t="s">
        <v>82</v>
      </c>
      <c r="G401" t="s">
        <v>142</v>
      </c>
      <c r="H401">
        <v>1</v>
      </c>
      <c r="I401" s="7">
        <v>122.84</v>
      </c>
      <c r="J401" s="8">
        <v>0.2</v>
      </c>
      <c r="K401" s="7">
        <v>70.88</v>
      </c>
      <c r="L401" s="7">
        <f t="shared" si="36"/>
        <v>122.84</v>
      </c>
      <c r="M401" s="7">
        <f t="shared" si="37"/>
        <v>24.568000000000001</v>
      </c>
      <c r="N401" s="7">
        <f t="shared" si="38"/>
        <v>98.272000000000006</v>
      </c>
      <c r="O401" s="7">
        <f t="shared" si="39"/>
        <v>70.88</v>
      </c>
      <c r="P401" s="7">
        <f t="shared" si="40"/>
        <v>27.39200000000001</v>
      </c>
      <c r="Q401" s="8">
        <f t="shared" si="41"/>
        <v>0.27873656789319451</v>
      </c>
    </row>
    <row r="402" spans="1:17" ht="15" customHeight="1" x14ac:dyDescent="0.3">
      <c r="A402" t="s">
        <v>518</v>
      </c>
      <c r="B402" s="6">
        <v>45643</v>
      </c>
      <c r="C402" t="s">
        <v>71</v>
      </c>
      <c r="D402" t="s">
        <v>80</v>
      </c>
      <c r="E402" t="s">
        <v>159</v>
      </c>
      <c r="F402" t="s">
        <v>90</v>
      </c>
      <c r="G402" t="s">
        <v>75</v>
      </c>
      <c r="H402">
        <v>4</v>
      </c>
      <c r="I402" s="7">
        <v>225.54</v>
      </c>
      <c r="J402" s="8">
        <v>0.1</v>
      </c>
      <c r="K402" s="7">
        <v>118.82</v>
      </c>
      <c r="L402" s="7">
        <f t="shared" si="36"/>
        <v>902.16</v>
      </c>
      <c r="M402" s="7">
        <f t="shared" si="37"/>
        <v>90.216000000000008</v>
      </c>
      <c r="N402" s="7">
        <f t="shared" si="38"/>
        <v>811.94399999999996</v>
      </c>
      <c r="O402" s="7">
        <f t="shared" si="39"/>
        <v>475.28</v>
      </c>
      <c r="P402" s="7">
        <f t="shared" si="40"/>
        <v>336.66399999999999</v>
      </c>
      <c r="Q402" s="8">
        <f t="shared" si="41"/>
        <v>0.41463943326140718</v>
      </c>
    </row>
    <row r="403" spans="1:17" ht="15" customHeight="1" x14ac:dyDescent="0.3">
      <c r="A403" t="s">
        <v>519</v>
      </c>
      <c r="B403" s="6">
        <v>45533</v>
      </c>
      <c r="C403" t="s">
        <v>79</v>
      </c>
      <c r="D403" t="s">
        <v>117</v>
      </c>
      <c r="E403" t="s">
        <v>118</v>
      </c>
      <c r="F403" t="s">
        <v>82</v>
      </c>
      <c r="G403" t="s">
        <v>94</v>
      </c>
      <c r="H403">
        <v>3</v>
      </c>
      <c r="I403" s="7">
        <v>96.28</v>
      </c>
      <c r="J403" s="8">
        <v>0.2</v>
      </c>
      <c r="K403" s="7">
        <v>56.88</v>
      </c>
      <c r="L403" s="7">
        <f t="shared" si="36"/>
        <v>288.84000000000003</v>
      </c>
      <c r="M403" s="7">
        <f t="shared" si="37"/>
        <v>57.768000000000008</v>
      </c>
      <c r="N403" s="7">
        <f t="shared" si="38"/>
        <v>231.07200000000003</v>
      </c>
      <c r="O403" s="7">
        <f t="shared" si="39"/>
        <v>170.64000000000001</v>
      </c>
      <c r="P403" s="7">
        <f t="shared" si="40"/>
        <v>60.432000000000016</v>
      </c>
      <c r="Q403" s="8">
        <f t="shared" si="41"/>
        <v>0.26152887411715831</v>
      </c>
    </row>
    <row r="404" spans="1:17" ht="15" customHeight="1" x14ac:dyDescent="0.3">
      <c r="A404" t="s">
        <v>520</v>
      </c>
      <c r="B404" s="6">
        <v>45406</v>
      </c>
      <c r="C404" t="s">
        <v>77</v>
      </c>
      <c r="D404" t="s">
        <v>117</v>
      </c>
      <c r="E404" t="s">
        <v>121</v>
      </c>
      <c r="F404" t="s">
        <v>74</v>
      </c>
      <c r="G404" t="s">
        <v>87</v>
      </c>
      <c r="H404">
        <v>3</v>
      </c>
      <c r="I404" s="7">
        <v>155.44</v>
      </c>
      <c r="J404" s="8">
        <v>0.15</v>
      </c>
      <c r="K404" s="7">
        <v>92.8</v>
      </c>
      <c r="L404" s="7">
        <f t="shared" si="36"/>
        <v>466.32</v>
      </c>
      <c r="M404" s="7">
        <f t="shared" si="37"/>
        <v>69.947999999999993</v>
      </c>
      <c r="N404" s="7">
        <f t="shared" si="38"/>
        <v>396.37200000000001</v>
      </c>
      <c r="O404" s="7">
        <f t="shared" si="39"/>
        <v>278.39999999999998</v>
      </c>
      <c r="P404" s="7">
        <f t="shared" si="40"/>
        <v>117.97200000000004</v>
      </c>
      <c r="Q404" s="8">
        <f t="shared" si="41"/>
        <v>0.29762949956101853</v>
      </c>
    </row>
    <row r="405" spans="1:17" ht="15" customHeight="1" x14ac:dyDescent="0.3">
      <c r="A405" t="s">
        <v>521</v>
      </c>
      <c r="B405" s="6">
        <v>45529</v>
      </c>
      <c r="C405" t="s">
        <v>71</v>
      </c>
      <c r="D405" t="s">
        <v>85</v>
      </c>
      <c r="E405" t="s">
        <v>86</v>
      </c>
      <c r="F405" t="s">
        <v>90</v>
      </c>
      <c r="G405" t="s">
        <v>142</v>
      </c>
      <c r="H405">
        <v>4</v>
      </c>
      <c r="I405" s="7">
        <v>483.34</v>
      </c>
      <c r="J405" s="8">
        <v>0</v>
      </c>
      <c r="K405" s="7">
        <v>298.02999999999997</v>
      </c>
      <c r="L405" s="7">
        <f t="shared" si="36"/>
        <v>1933.36</v>
      </c>
      <c r="M405" s="7">
        <f t="shared" si="37"/>
        <v>0</v>
      </c>
      <c r="N405" s="7">
        <f t="shared" si="38"/>
        <v>1933.36</v>
      </c>
      <c r="O405" s="7">
        <f t="shared" si="39"/>
        <v>1192.1199999999999</v>
      </c>
      <c r="P405" s="7">
        <f t="shared" si="40"/>
        <v>741.24</v>
      </c>
      <c r="Q405" s="8">
        <f t="shared" si="41"/>
        <v>0.38339471179707868</v>
      </c>
    </row>
    <row r="406" spans="1:17" ht="15" customHeight="1" x14ac:dyDescent="0.3">
      <c r="A406" t="s">
        <v>522</v>
      </c>
      <c r="B406" s="6">
        <v>45391</v>
      </c>
      <c r="C406" t="s">
        <v>93</v>
      </c>
      <c r="D406" t="s">
        <v>80</v>
      </c>
      <c r="E406" t="s">
        <v>138</v>
      </c>
      <c r="F406" t="s">
        <v>74</v>
      </c>
      <c r="G406" t="s">
        <v>91</v>
      </c>
      <c r="H406">
        <v>4</v>
      </c>
      <c r="I406" s="7">
        <v>220.08</v>
      </c>
      <c r="J406" s="8">
        <v>0.2</v>
      </c>
      <c r="K406" s="7">
        <v>104.45</v>
      </c>
      <c r="L406" s="7">
        <f t="shared" si="36"/>
        <v>880.32</v>
      </c>
      <c r="M406" s="7">
        <f t="shared" si="37"/>
        <v>176.06400000000002</v>
      </c>
      <c r="N406" s="7">
        <f t="shared" si="38"/>
        <v>704.25600000000009</v>
      </c>
      <c r="O406" s="7">
        <f t="shared" si="39"/>
        <v>417.8</v>
      </c>
      <c r="P406" s="7">
        <f t="shared" si="40"/>
        <v>286.45600000000007</v>
      </c>
      <c r="Q406" s="8">
        <f t="shared" si="41"/>
        <v>0.4067498182479099</v>
      </c>
    </row>
    <row r="407" spans="1:17" ht="15" customHeight="1" x14ac:dyDescent="0.3">
      <c r="A407" t="s">
        <v>523</v>
      </c>
      <c r="B407" s="6">
        <v>45501</v>
      </c>
      <c r="C407" t="s">
        <v>79</v>
      </c>
      <c r="D407" t="s">
        <v>72</v>
      </c>
      <c r="E407" t="s">
        <v>125</v>
      </c>
      <c r="F407" t="s">
        <v>74</v>
      </c>
      <c r="G407" t="s">
        <v>87</v>
      </c>
      <c r="H407">
        <v>4</v>
      </c>
      <c r="I407" s="7">
        <v>1191.8</v>
      </c>
      <c r="J407" s="8">
        <v>0.05</v>
      </c>
      <c r="K407" s="7">
        <v>570.99</v>
      </c>
      <c r="L407" s="7">
        <f t="shared" si="36"/>
        <v>4767.2</v>
      </c>
      <c r="M407" s="7">
        <f t="shared" si="37"/>
        <v>238.36</v>
      </c>
      <c r="N407" s="7">
        <f t="shared" si="38"/>
        <v>4528.84</v>
      </c>
      <c r="O407" s="7">
        <f t="shared" si="39"/>
        <v>2283.96</v>
      </c>
      <c r="P407" s="7">
        <f t="shared" si="40"/>
        <v>2244.88</v>
      </c>
      <c r="Q407" s="8">
        <f t="shared" si="41"/>
        <v>0.4956854293814752</v>
      </c>
    </row>
    <row r="408" spans="1:17" ht="15" customHeight="1" x14ac:dyDescent="0.3">
      <c r="A408" t="s">
        <v>524</v>
      </c>
      <c r="B408" s="6">
        <v>45452</v>
      </c>
      <c r="C408" t="s">
        <v>102</v>
      </c>
      <c r="D408" t="s">
        <v>117</v>
      </c>
      <c r="E408" t="s">
        <v>131</v>
      </c>
      <c r="F408" t="s">
        <v>82</v>
      </c>
      <c r="G408" t="s">
        <v>106</v>
      </c>
      <c r="H408">
        <v>1</v>
      </c>
      <c r="I408" s="7">
        <v>144.91</v>
      </c>
      <c r="J408" s="8">
        <v>0.15</v>
      </c>
      <c r="K408" s="7">
        <v>67.87</v>
      </c>
      <c r="L408" s="7">
        <f t="shared" si="36"/>
        <v>144.91</v>
      </c>
      <c r="M408" s="7">
        <f t="shared" si="37"/>
        <v>21.736499999999999</v>
      </c>
      <c r="N408" s="7">
        <f t="shared" si="38"/>
        <v>123.17349999999999</v>
      </c>
      <c r="O408" s="7">
        <f t="shared" si="39"/>
        <v>67.87</v>
      </c>
      <c r="P408" s="7">
        <f t="shared" si="40"/>
        <v>55.303499999999985</v>
      </c>
      <c r="Q408" s="8">
        <f t="shared" si="41"/>
        <v>0.44898862174087761</v>
      </c>
    </row>
    <row r="409" spans="1:17" ht="15" customHeight="1" x14ac:dyDescent="0.3">
      <c r="A409" t="s">
        <v>525</v>
      </c>
      <c r="B409" s="6">
        <v>45358</v>
      </c>
      <c r="C409" t="s">
        <v>79</v>
      </c>
      <c r="D409" t="s">
        <v>117</v>
      </c>
      <c r="E409" t="s">
        <v>118</v>
      </c>
      <c r="F409" t="s">
        <v>82</v>
      </c>
      <c r="G409" t="s">
        <v>94</v>
      </c>
      <c r="H409">
        <v>4</v>
      </c>
      <c r="I409" s="7">
        <v>142.99</v>
      </c>
      <c r="J409" s="8">
        <v>0.15</v>
      </c>
      <c r="K409" s="7">
        <v>72.53</v>
      </c>
      <c r="L409" s="7">
        <f t="shared" si="36"/>
        <v>571.96</v>
      </c>
      <c r="M409" s="7">
        <f t="shared" si="37"/>
        <v>85.793999999999997</v>
      </c>
      <c r="N409" s="7">
        <f t="shared" si="38"/>
        <v>486.16600000000005</v>
      </c>
      <c r="O409" s="7">
        <f t="shared" si="39"/>
        <v>290.12</v>
      </c>
      <c r="P409" s="7">
        <f t="shared" si="40"/>
        <v>196.04600000000005</v>
      </c>
      <c r="Q409" s="8">
        <f t="shared" si="41"/>
        <v>0.40324909598779024</v>
      </c>
    </row>
    <row r="410" spans="1:17" ht="15" customHeight="1" x14ac:dyDescent="0.3">
      <c r="A410" t="s">
        <v>526</v>
      </c>
      <c r="B410" s="6">
        <v>45394</v>
      </c>
      <c r="C410" t="s">
        <v>77</v>
      </c>
      <c r="D410" t="s">
        <v>108</v>
      </c>
      <c r="E410" t="s">
        <v>162</v>
      </c>
      <c r="F410" t="s">
        <v>74</v>
      </c>
      <c r="G410" t="s">
        <v>114</v>
      </c>
      <c r="H410">
        <v>1</v>
      </c>
      <c r="I410" s="7">
        <v>32.11</v>
      </c>
      <c r="J410" s="8">
        <v>0.1</v>
      </c>
      <c r="K410" s="7">
        <v>18.920000000000002</v>
      </c>
      <c r="L410" s="7">
        <f t="shared" si="36"/>
        <v>32.11</v>
      </c>
      <c r="M410" s="7">
        <f t="shared" si="37"/>
        <v>3.2110000000000003</v>
      </c>
      <c r="N410" s="7">
        <f t="shared" si="38"/>
        <v>28.899000000000001</v>
      </c>
      <c r="O410" s="7">
        <f t="shared" si="39"/>
        <v>18.920000000000002</v>
      </c>
      <c r="P410" s="7">
        <f t="shared" si="40"/>
        <v>9.9789999999999992</v>
      </c>
      <c r="Q410" s="8">
        <f t="shared" si="41"/>
        <v>0.34530606595383917</v>
      </c>
    </row>
    <row r="411" spans="1:17" ht="15" customHeight="1" x14ac:dyDescent="0.3">
      <c r="A411" t="s">
        <v>527</v>
      </c>
      <c r="B411" s="6">
        <v>45612</v>
      </c>
      <c r="C411" t="s">
        <v>77</v>
      </c>
      <c r="D411" t="s">
        <v>80</v>
      </c>
      <c r="E411" t="s">
        <v>159</v>
      </c>
      <c r="F411" t="s">
        <v>90</v>
      </c>
      <c r="G411" t="s">
        <v>110</v>
      </c>
      <c r="H411">
        <v>2</v>
      </c>
      <c r="I411" s="7">
        <v>257.38</v>
      </c>
      <c r="J411" s="8">
        <v>0.1</v>
      </c>
      <c r="K411" s="7">
        <v>123.03</v>
      </c>
      <c r="L411" s="7">
        <f t="shared" si="36"/>
        <v>514.76</v>
      </c>
      <c r="M411" s="7">
        <f t="shared" si="37"/>
        <v>51.475999999999999</v>
      </c>
      <c r="N411" s="7">
        <f t="shared" si="38"/>
        <v>463.28399999999999</v>
      </c>
      <c r="O411" s="7">
        <f t="shared" si="39"/>
        <v>246.06</v>
      </c>
      <c r="P411" s="7">
        <f t="shared" si="40"/>
        <v>217.22399999999999</v>
      </c>
      <c r="Q411" s="8">
        <f t="shared" si="41"/>
        <v>0.46887870075374932</v>
      </c>
    </row>
    <row r="412" spans="1:17" ht="15" customHeight="1" x14ac:dyDescent="0.3">
      <c r="A412" t="s">
        <v>528</v>
      </c>
      <c r="B412" s="6">
        <v>45377</v>
      </c>
      <c r="C412" t="s">
        <v>93</v>
      </c>
      <c r="D412" t="s">
        <v>72</v>
      </c>
      <c r="E412" t="s">
        <v>96</v>
      </c>
      <c r="F412" t="s">
        <v>90</v>
      </c>
      <c r="G412" t="s">
        <v>142</v>
      </c>
      <c r="H412">
        <v>1</v>
      </c>
      <c r="I412" s="7">
        <v>601.78</v>
      </c>
      <c r="J412" s="8">
        <v>0.1</v>
      </c>
      <c r="K412" s="7">
        <v>383.4</v>
      </c>
      <c r="L412" s="7">
        <f t="shared" si="36"/>
        <v>601.78</v>
      </c>
      <c r="M412" s="7">
        <f t="shared" si="37"/>
        <v>60.177999999999997</v>
      </c>
      <c r="N412" s="7">
        <f t="shared" si="38"/>
        <v>541.60199999999998</v>
      </c>
      <c r="O412" s="7">
        <f t="shared" si="39"/>
        <v>383.4</v>
      </c>
      <c r="P412" s="7">
        <f t="shared" si="40"/>
        <v>158.202</v>
      </c>
      <c r="Q412" s="8">
        <f t="shared" si="41"/>
        <v>0.29210010302768452</v>
      </c>
    </row>
    <row r="413" spans="1:17" ht="15" customHeight="1" x14ac:dyDescent="0.3">
      <c r="A413" t="s">
        <v>529</v>
      </c>
      <c r="B413" s="6">
        <v>45514</v>
      </c>
      <c r="C413" t="s">
        <v>93</v>
      </c>
      <c r="D413" t="s">
        <v>108</v>
      </c>
      <c r="E413" t="s">
        <v>109</v>
      </c>
      <c r="F413" t="s">
        <v>90</v>
      </c>
      <c r="G413" t="s">
        <v>87</v>
      </c>
      <c r="H413">
        <v>5</v>
      </c>
      <c r="I413" s="7">
        <v>35.26</v>
      </c>
      <c r="J413" s="8">
        <v>0.1</v>
      </c>
      <c r="K413" s="7">
        <v>22.88</v>
      </c>
      <c r="L413" s="7">
        <f t="shared" si="36"/>
        <v>176.29999999999998</v>
      </c>
      <c r="M413" s="7">
        <f t="shared" si="37"/>
        <v>17.63</v>
      </c>
      <c r="N413" s="7">
        <f t="shared" si="38"/>
        <v>158.66999999999999</v>
      </c>
      <c r="O413" s="7">
        <f t="shared" si="39"/>
        <v>114.39999999999999</v>
      </c>
      <c r="P413" s="7">
        <f t="shared" si="40"/>
        <v>44.269999999999996</v>
      </c>
      <c r="Q413" s="8">
        <f t="shared" si="41"/>
        <v>0.27900674355580762</v>
      </c>
    </row>
    <row r="414" spans="1:17" ht="15" customHeight="1" x14ac:dyDescent="0.3">
      <c r="A414" t="s">
        <v>530</v>
      </c>
      <c r="B414" s="6">
        <v>45301</v>
      </c>
      <c r="C414" t="s">
        <v>79</v>
      </c>
      <c r="D414" t="s">
        <v>108</v>
      </c>
      <c r="E414" t="s">
        <v>128</v>
      </c>
      <c r="F414" t="s">
        <v>74</v>
      </c>
      <c r="G414" t="s">
        <v>135</v>
      </c>
      <c r="H414">
        <v>5</v>
      </c>
      <c r="I414" s="7">
        <v>22.07</v>
      </c>
      <c r="J414" s="8">
        <v>0.05</v>
      </c>
      <c r="K414" s="7">
        <v>12.88</v>
      </c>
      <c r="L414" s="7">
        <f t="shared" si="36"/>
        <v>110.35</v>
      </c>
      <c r="M414" s="7">
        <f t="shared" si="37"/>
        <v>5.5175000000000001</v>
      </c>
      <c r="N414" s="7">
        <f t="shared" si="38"/>
        <v>104.8325</v>
      </c>
      <c r="O414" s="7">
        <f t="shared" si="39"/>
        <v>64.400000000000006</v>
      </c>
      <c r="P414" s="7">
        <f t="shared" si="40"/>
        <v>40.43249999999999</v>
      </c>
      <c r="Q414" s="8">
        <f t="shared" si="41"/>
        <v>0.3856866906732167</v>
      </c>
    </row>
    <row r="415" spans="1:17" ht="15" customHeight="1" x14ac:dyDescent="0.3">
      <c r="A415" t="s">
        <v>531</v>
      </c>
      <c r="B415" s="6">
        <v>45656</v>
      </c>
      <c r="C415" t="s">
        <v>79</v>
      </c>
      <c r="D415" t="s">
        <v>80</v>
      </c>
      <c r="E415" t="s">
        <v>138</v>
      </c>
      <c r="F415" t="s">
        <v>74</v>
      </c>
      <c r="G415" t="s">
        <v>87</v>
      </c>
      <c r="H415">
        <v>1</v>
      </c>
      <c r="I415" s="7">
        <v>244.09</v>
      </c>
      <c r="J415" s="8">
        <v>0.15</v>
      </c>
      <c r="K415" s="7">
        <v>151.12</v>
      </c>
      <c r="L415" s="7">
        <f t="shared" si="36"/>
        <v>244.09</v>
      </c>
      <c r="M415" s="7">
        <f t="shared" si="37"/>
        <v>36.613500000000002</v>
      </c>
      <c r="N415" s="7">
        <f t="shared" si="38"/>
        <v>207.47649999999999</v>
      </c>
      <c r="O415" s="7">
        <f t="shared" si="39"/>
        <v>151.12</v>
      </c>
      <c r="P415" s="7">
        <f t="shared" si="40"/>
        <v>56.356499999999983</v>
      </c>
      <c r="Q415" s="8">
        <f t="shared" si="41"/>
        <v>0.27162835309059091</v>
      </c>
    </row>
    <row r="416" spans="1:17" ht="15" customHeight="1" x14ac:dyDescent="0.3">
      <c r="A416" t="s">
        <v>532</v>
      </c>
      <c r="B416" s="6">
        <v>45316</v>
      </c>
      <c r="C416" t="s">
        <v>93</v>
      </c>
      <c r="D416" t="s">
        <v>85</v>
      </c>
      <c r="E416" t="s">
        <v>173</v>
      </c>
      <c r="F416" t="s">
        <v>74</v>
      </c>
      <c r="G416" t="s">
        <v>83</v>
      </c>
      <c r="H416">
        <v>1</v>
      </c>
      <c r="I416" s="7">
        <v>430.35</v>
      </c>
      <c r="J416" s="8">
        <v>0</v>
      </c>
      <c r="K416" s="7">
        <v>246.35</v>
      </c>
      <c r="L416" s="7">
        <f t="shared" si="36"/>
        <v>430.35</v>
      </c>
      <c r="M416" s="7">
        <f t="shared" si="37"/>
        <v>0</v>
      </c>
      <c r="N416" s="7">
        <f t="shared" si="38"/>
        <v>430.35</v>
      </c>
      <c r="O416" s="7">
        <f t="shared" si="39"/>
        <v>246.35</v>
      </c>
      <c r="P416" s="7">
        <f t="shared" si="40"/>
        <v>184.00000000000003</v>
      </c>
      <c r="Q416" s="8">
        <f t="shared" si="41"/>
        <v>0.42755896363425122</v>
      </c>
    </row>
    <row r="417" spans="1:17" ht="15" customHeight="1" x14ac:dyDescent="0.3">
      <c r="A417" t="s">
        <v>533</v>
      </c>
      <c r="B417" s="6">
        <v>45421</v>
      </c>
      <c r="C417" t="s">
        <v>102</v>
      </c>
      <c r="D417" t="s">
        <v>108</v>
      </c>
      <c r="E417" t="s">
        <v>162</v>
      </c>
      <c r="F417" t="s">
        <v>74</v>
      </c>
      <c r="G417" t="s">
        <v>114</v>
      </c>
      <c r="H417">
        <v>5</v>
      </c>
      <c r="I417" s="7">
        <v>26.99</v>
      </c>
      <c r="J417" s="8">
        <v>0.05</v>
      </c>
      <c r="K417" s="7">
        <v>15.49</v>
      </c>
      <c r="L417" s="7">
        <f t="shared" si="36"/>
        <v>134.94999999999999</v>
      </c>
      <c r="M417" s="7">
        <f t="shared" si="37"/>
        <v>6.7474999999999996</v>
      </c>
      <c r="N417" s="7">
        <f t="shared" si="38"/>
        <v>128.20249999999999</v>
      </c>
      <c r="O417" s="7">
        <f t="shared" si="39"/>
        <v>77.45</v>
      </c>
      <c r="P417" s="7">
        <f t="shared" si="40"/>
        <v>50.752499999999984</v>
      </c>
      <c r="Q417" s="8">
        <f t="shared" si="41"/>
        <v>0.3958776154911175</v>
      </c>
    </row>
    <row r="418" spans="1:17" ht="15" customHeight="1" x14ac:dyDescent="0.3">
      <c r="A418" t="s">
        <v>534</v>
      </c>
      <c r="B418" s="6">
        <v>45631</v>
      </c>
      <c r="C418" t="s">
        <v>102</v>
      </c>
      <c r="D418" t="s">
        <v>72</v>
      </c>
      <c r="E418" t="s">
        <v>123</v>
      </c>
      <c r="F418" t="s">
        <v>90</v>
      </c>
      <c r="G418" t="s">
        <v>94</v>
      </c>
      <c r="H418">
        <v>5</v>
      </c>
      <c r="I418" s="7">
        <v>893</v>
      </c>
      <c r="J418" s="8">
        <v>0.2</v>
      </c>
      <c r="K418" s="7">
        <v>513.64</v>
      </c>
      <c r="L418" s="7">
        <f t="shared" si="36"/>
        <v>4465</v>
      </c>
      <c r="M418" s="7">
        <f t="shared" si="37"/>
        <v>893</v>
      </c>
      <c r="N418" s="7">
        <f t="shared" si="38"/>
        <v>3572</v>
      </c>
      <c r="O418" s="7">
        <f t="shared" si="39"/>
        <v>2568.1999999999998</v>
      </c>
      <c r="P418" s="7">
        <f t="shared" si="40"/>
        <v>1003.8000000000002</v>
      </c>
      <c r="Q418" s="8">
        <f t="shared" si="41"/>
        <v>0.28101903695408742</v>
      </c>
    </row>
    <row r="419" spans="1:17" ht="15" customHeight="1" x14ac:dyDescent="0.3">
      <c r="A419" t="s">
        <v>535</v>
      </c>
      <c r="B419" s="6">
        <v>45352</v>
      </c>
      <c r="C419" t="s">
        <v>93</v>
      </c>
      <c r="D419" t="s">
        <v>108</v>
      </c>
      <c r="E419" t="s">
        <v>200</v>
      </c>
      <c r="F419" t="s">
        <v>90</v>
      </c>
      <c r="G419" t="s">
        <v>83</v>
      </c>
      <c r="H419">
        <v>4</v>
      </c>
      <c r="I419" s="7">
        <v>23.15</v>
      </c>
      <c r="J419" s="8">
        <v>0.15</v>
      </c>
      <c r="K419" s="7">
        <v>10.41</v>
      </c>
      <c r="L419" s="7">
        <f t="shared" si="36"/>
        <v>92.6</v>
      </c>
      <c r="M419" s="7">
        <f t="shared" si="37"/>
        <v>13.889999999999999</v>
      </c>
      <c r="N419" s="7">
        <f t="shared" si="38"/>
        <v>78.709999999999994</v>
      </c>
      <c r="O419" s="7">
        <f t="shared" si="39"/>
        <v>41.64</v>
      </c>
      <c r="P419" s="7">
        <f t="shared" si="40"/>
        <v>37.069999999999993</v>
      </c>
      <c r="Q419" s="8">
        <f t="shared" si="41"/>
        <v>0.47096938127302751</v>
      </c>
    </row>
    <row r="420" spans="1:17" ht="15" customHeight="1" x14ac:dyDescent="0.3">
      <c r="A420" t="s">
        <v>536</v>
      </c>
      <c r="B420" s="6">
        <v>45652</v>
      </c>
      <c r="C420" t="s">
        <v>93</v>
      </c>
      <c r="D420" t="s">
        <v>117</v>
      </c>
      <c r="E420" t="s">
        <v>121</v>
      </c>
      <c r="F420" t="s">
        <v>74</v>
      </c>
      <c r="G420" t="s">
        <v>87</v>
      </c>
      <c r="H420">
        <v>2</v>
      </c>
      <c r="I420" s="7">
        <v>123.34</v>
      </c>
      <c r="J420" s="8">
        <v>0</v>
      </c>
      <c r="K420" s="7">
        <v>66.239999999999995</v>
      </c>
      <c r="L420" s="7">
        <f t="shared" si="36"/>
        <v>246.68</v>
      </c>
      <c r="M420" s="7">
        <f t="shared" si="37"/>
        <v>0</v>
      </c>
      <c r="N420" s="7">
        <f t="shared" si="38"/>
        <v>246.68</v>
      </c>
      <c r="O420" s="7">
        <f t="shared" si="39"/>
        <v>132.47999999999999</v>
      </c>
      <c r="P420" s="7">
        <f t="shared" si="40"/>
        <v>114.20000000000002</v>
      </c>
      <c r="Q420" s="8">
        <f t="shared" si="41"/>
        <v>0.46294794875952655</v>
      </c>
    </row>
    <row r="421" spans="1:17" ht="15" customHeight="1" x14ac:dyDescent="0.3">
      <c r="A421" t="s">
        <v>537</v>
      </c>
      <c r="B421" s="6">
        <v>45298</v>
      </c>
      <c r="C421" t="s">
        <v>71</v>
      </c>
      <c r="D421" t="s">
        <v>117</v>
      </c>
      <c r="E421" t="s">
        <v>140</v>
      </c>
      <c r="F421" t="s">
        <v>74</v>
      </c>
      <c r="G421" t="s">
        <v>110</v>
      </c>
      <c r="H421">
        <v>1</v>
      </c>
      <c r="I421" s="7">
        <v>148.47999999999999</v>
      </c>
      <c r="J421" s="8">
        <v>0.2</v>
      </c>
      <c r="K421" s="7">
        <v>84.23</v>
      </c>
      <c r="L421" s="7">
        <f t="shared" si="36"/>
        <v>148.47999999999999</v>
      </c>
      <c r="M421" s="7">
        <f t="shared" si="37"/>
        <v>29.695999999999998</v>
      </c>
      <c r="N421" s="7">
        <f t="shared" si="38"/>
        <v>118.78399999999999</v>
      </c>
      <c r="O421" s="7">
        <f t="shared" si="39"/>
        <v>84.23</v>
      </c>
      <c r="P421" s="7">
        <f t="shared" si="40"/>
        <v>34.553999999999988</v>
      </c>
      <c r="Q421" s="8">
        <f t="shared" si="41"/>
        <v>0.29089776400862061</v>
      </c>
    </row>
    <row r="422" spans="1:17" ht="15" customHeight="1" x14ac:dyDescent="0.3">
      <c r="A422" t="s">
        <v>538</v>
      </c>
      <c r="B422" s="6">
        <v>45423</v>
      </c>
      <c r="C422" t="s">
        <v>93</v>
      </c>
      <c r="D422" t="s">
        <v>117</v>
      </c>
      <c r="E422" t="s">
        <v>131</v>
      </c>
      <c r="F422" t="s">
        <v>74</v>
      </c>
      <c r="G422" t="s">
        <v>94</v>
      </c>
      <c r="H422">
        <v>4</v>
      </c>
      <c r="I422" s="7">
        <v>145.86000000000001</v>
      </c>
      <c r="J422" s="8">
        <v>0.1</v>
      </c>
      <c r="K422" s="7">
        <v>67.98</v>
      </c>
      <c r="L422" s="7">
        <f t="shared" si="36"/>
        <v>583.44000000000005</v>
      </c>
      <c r="M422" s="7">
        <f t="shared" si="37"/>
        <v>58.344000000000008</v>
      </c>
      <c r="N422" s="7">
        <f t="shared" si="38"/>
        <v>525.096</v>
      </c>
      <c r="O422" s="7">
        <f t="shared" si="39"/>
        <v>271.92</v>
      </c>
      <c r="P422" s="7">
        <f t="shared" si="40"/>
        <v>253.17599999999999</v>
      </c>
      <c r="Q422" s="8">
        <f t="shared" si="41"/>
        <v>0.48215183509301152</v>
      </c>
    </row>
    <row r="423" spans="1:17" ht="15" customHeight="1" x14ac:dyDescent="0.3">
      <c r="A423" t="s">
        <v>539</v>
      </c>
      <c r="B423" s="6">
        <v>45476</v>
      </c>
      <c r="C423" t="s">
        <v>79</v>
      </c>
      <c r="D423" t="s">
        <v>72</v>
      </c>
      <c r="E423" t="s">
        <v>73</v>
      </c>
      <c r="F423" t="s">
        <v>74</v>
      </c>
      <c r="G423" t="s">
        <v>142</v>
      </c>
      <c r="H423">
        <v>3</v>
      </c>
      <c r="I423" s="7">
        <v>1073.02</v>
      </c>
      <c r="J423" s="8">
        <v>0.15</v>
      </c>
      <c r="K423" s="7">
        <v>627.33000000000004</v>
      </c>
      <c r="L423" s="7">
        <f t="shared" si="36"/>
        <v>3219.06</v>
      </c>
      <c r="M423" s="7">
        <f t="shared" si="37"/>
        <v>482.85899999999998</v>
      </c>
      <c r="N423" s="7">
        <f t="shared" si="38"/>
        <v>2736.201</v>
      </c>
      <c r="O423" s="7">
        <f t="shared" si="39"/>
        <v>1881.9900000000002</v>
      </c>
      <c r="P423" s="7">
        <f t="shared" si="40"/>
        <v>854.21099999999979</v>
      </c>
      <c r="Q423" s="8">
        <f t="shared" si="41"/>
        <v>0.31218868789244641</v>
      </c>
    </row>
    <row r="424" spans="1:17" ht="15" customHeight="1" x14ac:dyDescent="0.3">
      <c r="A424" t="s">
        <v>540</v>
      </c>
      <c r="B424" s="6">
        <v>45460</v>
      </c>
      <c r="C424" t="s">
        <v>77</v>
      </c>
      <c r="D424" t="s">
        <v>72</v>
      </c>
      <c r="E424" t="s">
        <v>73</v>
      </c>
      <c r="F424" t="s">
        <v>74</v>
      </c>
      <c r="G424" t="s">
        <v>106</v>
      </c>
      <c r="H424">
        <v>4</v>
      </c>
      <c r="I424" s="7">
        <v>788.82</v>
      </c>
      <c r="J424" s="8">
        <v>0.2</v>
      </c>
      <c r="K424" s="7">
        <v>368.44</v>
      </c>
      <c r="L424" s="7">
        <f t="shared" si="36"/>
        <v>3155.28</v>
      </c>
      <c r="M424" s="7">
        <f t="shared" si="37"/>
        <v>631.05600000000004</v>
      </c>
      <c r="N424" s="7">
        <f t="shared" si="38"/>
        <v>2524.2240000000002</v>
      </c>
      <c r="O424" s="7">
        <f t="shared" si="39"/>
        <v>1473.76</v>
      </c>
      <c r="P424" s="7">
        <f t="shared" si="40"/>
        <v>1050.4640000000002</v>
      </c>
      <c r="Q424" s="8">
        <f t="shared" si="41"/>
        <v>0.41615324155067068</v>
      </c>
    </row>
    <row r="425" spans="1:17" ht="15" customHeight="1" x14ac:dyDescent="0.3">
      <c r="A425" t="s">
        <v>541</v>
      </c>
      <c r="B425" s="6">
        <v>45497</v>
      </c>
      <c r="C425" t="s">
        <v>71</v>
      </c>
      <c r="D425" t="s">
        <v>72</v>
      </c>
      <c r="E425" t="s">
        <v>123</v>
      </c>
      <c r="F425" t="s">
        <v>74</v>
      </c>
      <c r="G425" t="s">
        <v>94</v>
      </c>
      <c r="H425">
        <v>4</v>
      </c>
      <c r="I425" s="7">
        <v>816.16</v>
      </c>
      <c r="J425" s="8">
        <v>0.1</v>
      </c>
      <c r="K425" s="7">
        <v>496.98</v>
      </c>
      <c r="L425" s="7">
        <f t="shared" si="36"/>
        <v>3264.64</v>
      </c>
      <c r="M425" s="7">
        <f t="shared" si="37"/>
        <v>326.464</v>
      </c>
      <c r="N425" s="7">
        <f t="shared" si="38"/>
        <v>2938.1759999999999</v>
      </c>
      <c r="O425" s="7">
        <f t="shared" si="39"/>
        <v>1987.92</v>
      </c>
      <c r="P425" s="7">
        <f t="shared" si="40"/>
        <v>950.25599999999986</v>
      </c>
      <c r="Q425" s="8">
        <f t="shared" si="41"/>
        <v>0.3234169770633209</v>
      </c>
    </row>
    <row r="426" spans="1:17" ht="15" customHeight="1" x14ac:dyDescent="0.3">
      <c r="A426" t="s">
        <v>542</v>
      </c>
      <c r="B426" s="6">
        <v>45648</v>
      </c>
      <c r="C426" t="s">
        <v>79</v>
      </c>
      <c r="D426" t="s">
        <v>108</v>
      </c>
      <c r="E426" t="s">
        <v>162</v>
      </c>
      <c r="F426" t="s">
        <v>74</v>
      </c>
      <c r="G426" t="s">
        <v>106</v>
      </c>
      <c r="H426">
        <v>6</v>
      </c>
      <c r="I426" s="7">
        <v>32.03</v>
      </c>
      <c r="J426" s="8">
        <v>0</v>
      </c>
      <c r="K426" s="7">
        <v>16.14</v>
      </c>
      <c r="L426" s="7">
        <f t="shared" si="36"/>
        <v>192.18</v>
      </c>
      <c r="M426" s="7">
        <f t="shared" si="37"/>
        <v>0</v>
      </c>
      <c r="N426" s="7">
        <f t="shared" si="38"/>
        <v>192.18</v>
      </c>
      <c r="O426" s="7">
        <f t="shared" si="39"/>
        <v>96.84</v>
      </c>
      <c r="P426" s="7">
        <f t="shared" si="40"/>
        <v>95.34</v>
      </c>
      <c r="Q426" s="8">
        <f t="shared" si="41"/>
        <v>0.49609740867936308</v>
      </c>
    </row>
    <row r="427" spans="1:17" ht="15" customHeight="1" x14ac:dyDescent="0.3">
      <c r="A427" t="s">
        <v>543</v>
      </c>
      <c r="B427" s="6">
        <v>45384</v>
      </c>
      <c r="C427" t="s">
        <v>93</v>
      </c>
      <c r="D427" t="s">
        <v>80</v>
      </c>
      <c r="E427" t="s">
        <v>81</v>
      </c>
      <c r="F427" t="s">
        <v>90</v>
      </c>
      <c r="G427" t="s">
        <v>91</v>
      </c>
      <c r="H427">
        <v>3</v>
      </c>
      <c r="I427" s="7">
        <v>237.81</v>
      </c>
      <c r="J427" s="8">
        <v>0.2</v>
      </c>
      <c r="K427" s="7">
        <v>96.84</v>
      </c>
      <c r="L427" s="7">
        <f t="shared" si="36"/>
        <v>713.43000000000006</v>
      </c>
      <c r="M427" s="7">
        <f t="shared" si="37"/>
        <v>142.68600000000001</v>
      </c>
      <c r="N427" s="7">
        <f t="shared" si="38"/>
        <v>570.74400000000003</v>
      </c>
      <c r="O427" s="7">
        <f t="shared" si="39"/>
        <v>290.52</v>
      </c>
      <c r="P427" s="7">
        <f t="shared" si="40"/>
        <v>280.22400000000005</v>
      </c>
      <c r="Q427" s="8">
        <f t="shared" si="41"/>
        <v>0.49098019427273881</v>
      </c>
    </row>
    <row r="428" spans="1:17" ht="15" customHeight="1" x14ac:dyDescent="0.3">
      <c r="A428" t="s">
        <v>544</v>
      </c>
      <c r="B428" s="6">
        <v>45517</v>
      </c>
      <c r="C428" t="s">
        <v>102</v>
      </c>
      <c r="D428" t="s">
        <v>117</v>
      </c>
      <c r="E428" t="s">
        <v>140</v>
      </c>
      <c r="F428" t="s">
        <v>74</v>
      </c>
      <c r="G428" t="s">
        <v>135</v>
      </c>
      <c r="H428">
        <v>3</v>
      </c>
      <c r="I428" s="7">
        <v>88.41</v>
      </c>
      <c r="J428" s="8">
        <v>0.1</v>
      </c>
      <c r="K428" s="7">
        <v>35.64</v>
      </c>
      <c r="L428" s="7">
        <f t="shared" si="36"/>
        <v>265.23</v>
      </c>
      <c r="M428" s="7">
        <f t="shared" si="37"/>
        <v>26.523000000000003</v>
      </c>
      <c r="N428" s="7">
        <f t="shared" si="38"/>
        <v>238.70700000000002</v>
      </c>
      <c r="O428" s="7">
        <f t="shared" si="39"/>
        <v>106.92</v>
      </c>
      <c r="P428" s="7">
        <f t="shared" si="40"/>
        <v>131.78700000000003</v>
      </c>
      <c r="Q428" s="8">
        <f t="shared" si="41"/>
        <v>0.55208686800135742</v>
      </c>
    </row>
    <row r="429" spans="1:17" ht="15" customHeight="1" x14ac:dyDescent="0.3">
      <c r="A429" t="s">
        <v>545</v>
      </c>
      <c r="B429" s="6">
        <v>45557</v>
      </c>
      <c r="C429" t="s">
        <v>93</v>
      </c>
      <c r="D429" t="s">
        <v>80</v>
      </c>
      <c r="E429" t="s">
        <v>138</v>
      </c>
      <c r="F429" t="s">
        <v>74</v>
      </c>
      <c r="G429" t="s">
        <v>87</v>
      </c>
      <c r="H429">
        <v>5</v>
      </c>
      <c r="I429" s="7">
        <v>223.7</v>
      </c>
      <c r="J429" s="8">
        <v>0</v>
      </c>
      <c r="K429" s="7">
        <v>113.69</v>
      </c>
      <c r="L429" s="7">
        <f t="shared" si="36"/>
        <v>1118.5</v>
      </c>
      <c r="M429" s="7">
        <f t="shared" si="37"/>
        <v>0</v>
      </c>
      <c r="N429" s="7">
        <f t="shared" si="38"/>
        <v>1118.5</v>
      </c>
      <c r="O429" s="7">
        <f t="shared" si="39"/>
        <v>568.45000000000005</v>
      </c>
      <c r="P429" s="7">
        <f t="shared" si="40"/>
        <v>550.04999999999995</v>
      </c>
      <c r="Q429" s="8">
        <f t="shared" si="41"/>
        <v>0.49177469825659359</v>
      </c>
    </row>
    <row r="430" spans="1:17" ht="15" customHeight="1" x14ac:dyDescent="0.3">
      <c r="A430" t="s">
        <v>546</v>
      </c>
      <c r="B430" s="6">
        <v>45368</v>
      </c>
      <c r="C430" t="s">
        <v>71</v>
      </c>
      <c r="D430" t="s">
        <v>117</v>
      </c>
      <c r="E430" t="s">
        <v>140</v>
      </c>
      <c r="F430" t="s">
        <v>90</v>
      </c>
      <c r="G430" t="s">
        <v>135</v>
      </c>
      <c r="H430">
        <v>5</v>
      </c>
      <c r="I430" s="7">
        <v>164.55</v>
      </c>
      <c r="J430" s="8">
        <v>0.2</v>
      </c>
      <c r="K430" s="7">
        <v>68.06</v>
      </c>
      <c r="L430" s="7">
        <f t="shared" si="36"/>
        <v>822.75</v>
      </c>
      <c r="M430" s="7">
        <f t="shared" si="37"/>
        <v>164.55</v>
      </c>
      <c r="N430" s="7">
        <f t="shared" si="38"/>
        <v>658.2</v>
      </c>
      <c r="O430" s="7">
        <f t="shared" si="39"/>
        <v>340.3</v>
      </c>
      <c r="P430" s="7">
        <f t="shared" si="40"/>
        <v>317.90000000000003</v>
      </c>
      <c r="Q430" s="8">
        <f t="shared" si="41"/>
        <v>0.48298389547250076</v>
      </c>
    </row>
    <row r="431" spans="1:17" ht="15" customHeight="1" x14ac:dyDescent="0.3">
      <c r="A431" t="s">
        <v>547</v>
      </c>
      <c r="B431" s="6">
        <v>45330</v>
      </c>
      <c r="C431" t="s">
        <v>102</v>
      </c>
      <c r="D431" t="s">
        <v>117</v>
      </c>
      <c r="E431" t="s">
        <v>118</v>
      </c>
      <c r="F431" t="s">
        <v>82</v>
      </c>
      <c r="G431" t="s">
        <v>106</v>
      </c>
      <c r="H431">
        <v>3</v>
      </c>
      <c r="I431" s="7">
        <v>156.13999999999999</v>
      </c>
      <c r="J431" s="8">
        <v>0.05</v>
      </c>
      <c r="K431" s="7">
        <v>75.37</v>
      </c>
      <c r="L431" s="7">
        <f t="shared" si="36"/>
        <v>468.41999999999996</v>
      </c>
      <c r="M431" s="7">
        <f t="shared" si="37"/>
        <v>23.420999999999999</v>
      </c>
      <c r="N431" s="7">
        <f t="shared" si="38"/>
        <v>444.99899999999997</v>
      </c>
      <c r="O431" s="7">
        <f t="shared" si="39"/>
        <v>226.11</v>
      </c>
      <c r="P431" s="7">
        <f t="shared" si="40"/>
        <v>218.88899999999995</v>
      </c>
      <c r="Q431" s="8">
        <f t="shared" si="41"/>
        <v>0.49188649862134515</v>
      </c>
    </row>
    <row r="432" spans="1:17" ht="15" customHeight="1" x14ac:dyDescent="0.3">
      <c r="A432" t="s">
        <v>548</v>
      </c>
      <c r="B432" s="6">
        <v>45621</v>
      </c>
      <c r="C432" t="s">
        <v>93</v>
      </c>
      <c r="D432" t="s">
        <v>85</v>
      </c>
      <c r="E432" t="s">
        <v>100</v>
      </c>
      <c r="F432" t="s">
        <v>74</v>
      </c>
      <c r="G432" t="s">
        <v>114</v>
      </c>
      <c r="H432">
        <v>2</v>
      </c>
      <c r="I432" s="7">
        <v>351.02</v>
      </c>
      <c r="J432" s="8">
        <v>0</v>
      </c>
      <c r="K432" s="7">
        <v>180.7</v>
      </c>
      <c r="L432" s="7">
        <f t="shared" si="36"/>
        <v>702.04</v>
      </c>
      <c r="M432" s="7">
        <f t="shared" si="37"/>
        <v>0</v>
      </c>
      <c r="N432" s="7">
        <f t="shared" si="38"/>
        <v>702.04</v>
      </c>
      <c r="O432" s="7">
        <f t="shared" si="39"/>
        <v>361.4</v>
      </c>
      <c r="P432" s="7">
        <f t="shared" si="40"/>
        <v>340.64</v>
      </c>
      <c r="Q432" s="8">
        <f t="shared" si="41"/>
        <v>0.48521451769129964</v>
      </c>
    </row>
    <row r="433" spans="1:17" ht="15" customHeight="1" x14ac:dyDescent="0.3">
      <c r="A433" t="s">
        <v>549</v>
      </c>
      <c r="B433" s="6">
        <v>45453</v>
      </c>
      <c r="C433" t="s">
        <v>77</v>
      </c>
      <c r="D433" t="s">
        <v>80</v>
      </c>
      <c r="E433" t="s">
        <v>81</v>
      </c>
      <c r="F433" t="s">
        <v>82</v>
      </c>
      <c r="G433" t="s">
        <v>91</v>
      </c>
      <c r="H433">
        <v>4</v>
      </c>
      <c r="I433" s="7">
        <v>158.99</v>
      </c>
      <c r="J433" s="8">
        <v>0</v>
      </c>
      <c r="K433" s="7">
        <v>67.680000000000007</v>
      </c>
      <c r="L433" s="7">
        <f t="shared" si="36"/>
        <v>635.96</v>
      </c>
      <c r="M433" s="7">
        <f t="shared" si="37"/>
        <v>0</v>
      </c>
      <c r="N433" s="7">
        <f t="shared" si="38"/>
        <v>635.96</v>
      </c>
      <c r="O433" s="7">
        <f t="shared" si="39"/>
        <v>270.72000000000003</v>
      </c>
      <c r="P433" s="7">
        <f t="shared" si="40"/>
        <v>365.24</v>
      </c>
      <c r="Q433" s="8">
        <f t="shared" si="41"/>
        <v>0.57431284986477138</v>
      </c>
    </row>
    <row r="434" spans="1:17" ht="15" customHeight="1" x14ac:dyDescent="0.3">
      <c r="A434" t="s">
        <v>550</v>
      </c>
      <c r="B434" s="6">
        <v>45338</v>
      </c>
      <c r="C434" t="s">
        <v>93</v>
      </c>
      <c r="D434" t="s">
        <v>108</v>
      </c>
      <c r="E434" t="s">
        <v>200</v>
      </c>
      <c r="F434" t="s">
        <v>90</v>
      </c>
      <c r="G434" t="s">
        <v>110</v>
      </c>
      <c r="H434">
        <v>20</v>
      </c>
      <c r="I434" s="7">
        <v>33.340000000000003</v>
      </c>
      <c r="J434" s="8">
        <v>0.1</v>
      </c>
      <c r="K434" s="7">
        <v>20.76</v>
      </c>
      <c r="L434" s="7">
        <f t="shared" si="36"/>
        <v>666.80000000000007</v>
      </c>
      <c r="M434" s="7">
        <f t="shared" si="37"/>
        <v>66.680000000000007</v>
      </c>
      <c r="N434" s="7">
        <f t="shared" si="38"/>
        <v>600.12000000000012</v>
      </c>
      <c r="O434" s="7">
        <f t="shared" si="39"/>
        <v>415.20000000000005</v>
      </c>
      <c r="P434" s="7">
        <f t="shared" si="40"/>
        <v>184.92000000000007</v>
      </c>
      <c r="Q434" s="8">
        <f t="shared" si="41"/>
        <v>0.30813837232553493</v>
      </c>
    </row>
    <row r="435" spans="1:17" ht="15" customHeight="1" x14ac:dyDescent="0.3">
      <c r="A435" t="s">
        <v>551</v>
      </c>
      <c r="B435" s="6">
        <v>45319</v>
      </c>
      <c r="C435" t="s">
        <v>102</v>
      </c>
      <c r="D435" t="s">
        <v>80</v>
      </c>
      <c r="E435" t="s">
        <v>159</v>
      </c>
      <c r="F435" t="s">
        <v>82</v>
      </c>
      <c r="G435" t="s">
        <v>87</v>
      </c>
      <c r="H435">
        <v>4</v>
      </c>
      <c r="I435" s="7">
        <v>270.64999999999998</v>
      </c>
      <c r="J435" s="8">
        <v>0.1</v>
      </c>
      <c r="K435" s="7">
        <v>146.16</v>
      </c>
      <c r="L435" s="7">
        <f t="shared" si="36"/>
        <v>1082.5999999999999</v>
      </c>
      <c r="M435" s="7">
        <f t="shared" si="37"/>
        <v>108.25999999999999</v>
      </c>
      <c r="N435" s="7">
        <f t="shared" si="38"/>
        <v>974.33999999999992</v>
      </c>
      <c r="O435" s="7">
        <f t="shared" si="39"/>
        <v>584.64</v>
      </c>
      <c r="P435" s="7">
        <f t="shared" si="40"/>
        <v>389.69999999999993</v>
      </c>
      <c r="Q435" s="8">
        <f t="shared" si="41"/>
        <v>0.39996305191206349</v>
      </c>
    </row>
    <row r="436" spans="1:17" ht="15" customHeight="1" x14ac:dyDescent="0.3">
      <c r="A436" t="s">
        <v>552</v>
      </c>
      <c r="B436" s="6">
        <v>45523</v>
      </c>
      <c r="C436" t="s">
        <v>102</v>
      </c>
      <c r="D436" t="s">
        <v>80</v>
      </c>
      <c r="E436" t="s">
        <v>138</v>
      </c>
      <c r="F436" t="s">
        <v>90</v>
      </c>
      <c r="G436" t="s">
        <v>87</v>
      </c>
      <c r="H436">
        <v>2</v>
      </c>
      <c r="I436" s="7">
        <v>158.24</v>
      </c>
      <c r="J436" s="8">
        <v>0</v>
      </c>
      <c r="K436" s="7">
        <v>76.8</v>
      </c>
      <c r="L436" s="7">
        <f t="shared" si="36"/>
        <v>316.48</v>
      </c>
      <c r="M436" s="7">
        <f t="shared" si="37"/>
        <v>0</v>
      </c>
      <c r="N436" s="7">
        <f t="shared" si="38"/>
        <v>316.48</v>
      </c>
      <c r="O436" s="7">
        <f t="shared" si="39"/>
        <v>153.6</v>
      </c>
      <c r="P436" s="7">
        <f t="shared" si="40"/>
        <v>162.88000000000002</v>
      </c>
      <c r="Q436" s="8">
        <f t="shared" si="41"/>
        <v>0.51466127401415573</v>
      </c>
    </row>
    <row r="437" spans="1:17" ht="15" customHeight="1" x14ac:dyDescent="0.3">
      <c r="A437" t="s">
        <v>553</v>
      </c>
      <c r="B437" s="6">
        <v>45315</v>
      </c>
      <c r="C437" t="s">
        <v>93</v>
      </c>
      <c r="D437" t="s">
        <v>85</v>
      </c>
      <c r="E437" t="s">
        <v>173</v>
      </c>
      <c r="F437" t="s">
        <v>82</v>
      </c>
      <c r="G437" t="s">
        <v>94</v>
      </c>
      <c r="H437">
        <v>4</v>
      </c>
      <c r="I437" s="7">
        <v>496.13</v>
      </c>
      <c r="J437" s="8">
        <v>0.05</v>
      </c>
      <c r="K437" s="7">
        <v>300.39</v>
      </c>
      <c r="L437" s="7">
        <f t="shared" si="36"/>
        <v>1984.52</v>
      </c>
      <c r="M437" s="7">
        <f t="shared" si="37"/>
        <v>99.225999999999999</v>
      </c>
      <c r="N437" s="7">
        <f t="shared" si="38"/>
        <v>1885.2939999999999</v>
      </c>
      <c r="O437" s="7">
        <f t="shared" si="39"/>
        <v>1201.56</v>
      </c>
      <c r="P437" s="7">
        <f t="shared" si="40"/>
        <v>683.73399999999992</v>
      </c>
      <c r="Q437" s="8">
        <f t="shared" si="41"/>
        <v>0.36266704291213997</v>
      </c>
    </row>
    <row r="438" spans="1:17" ht="15" customHeight="1" x14ac:dyDescent="0.3">
      <c r="A438" t="s">
        <v>554</v>
      </c>
      <c r="B438" s="6">
        <v>45388</v>
      </c>
      <c r="C438" t="s">
        <v>71</v>
      </c>
      <c r="D438" t="s">
        <v>108</v>
      </c>
      <c r="E438" t="s">
        <v>200</v>
      </c>
      <c r="F438" t="s">
        <v>90</v>
      </c>
      <c r="G438" t="s">
        <v>75</v>
      </c>
      <c r="H438">
        <v>13</v>
      </c>
      <c r="I438" s="7">
        <v>19.91</v>
      </c>
      <c r="J438" s="8">
        <v>0.05</v>
      </c>
      <c r="K438" s="7">
        <v>10.24</v>
      </c>
      <c r="L438" s="7">
        <f t="shared" si="36"/>
        <v>258.83</v>
      </c>
      <c r="M438" s="7">
        <f t="shared" si="37"/>
        <v>12.9415</v>
      </c>
      <c r="N438" s="7">
        <f t="shared" si="38"/>
        <v>245.88849999999999</v>
      </c>
      <c r="O438" s="7">
        <f t="shared" si="39"/>
        <v>133.12</v>
      </c>
      <c r="P438" s="7">
        <f t="shared" si="40"/>
        <v>112.76849999999999</v>
      </c>
      <c r="Q438" s="8">
        <f t="shared" si="41"/>
        <v>0.45861640540326204</v>
      </c>
    </row>
    <row r="439" spans="1:17" ht="15" customHeight="1" x14ac:dyDescent="0.3">
      <c r="A439" t="s">
        <v>555</v>
      </c>
      <c r="B439" s="6">
        <v>45616</v>
      </c>
      <c r="C439" t="s">
        <v>77</v>
      </c>
      <c r="D439" t="s">
        <v>117</v>
      </c>
      <c r="E439" t="s">
        <v>121</v>
      </c>
      <c r="F439" t="s">
        <v>82</v>
      </c>
      <c r="G439" t="s">
        <v>110</v>
      </c>
      <c r="H439">
        <v>5</v>
      </c>
      <c r="I439" s="7">
        <v>164.4</v>
      </c>
      <c r="J439" s="8">
        <v>0</v>
      </c>
      <c r="K439" s="7">
        <v>97.5</v>
      </c>
      <c r="L439" s="7">
        <f t="shared" si="36"/>
        <v>822</v>
      </c>
      <c r="M439" s="7">
        <f t="shared" si="37"/>
        <v>0</v>
      </c>
      <c r="N439" s="7">
        <f t="shared" si="38"/>
        <v>822</v>
      </c>
      <c r="O439" s="7">
        <f t="shared" si="39"/>
        <v>487.5</v>
      </c>
      <c r="P439" s="7">
        <f t="shared" si="40"/>
        <v>334.5</v>
      </c>
      <c r="Q439" s="8">
        <f t="shared" si="41"/>
        <v>0.40693430656934304</v>
      </c>
    </row>
    <row r="440" spans="1:17" ht="15" customHeight="1" x14ac:dyDescent="0.3">
      <c r="A440" t="s">
        <v>556</v>
      </c>
      <c r="B440" s="6">
        <v>45547</v>
      </c>
      <c r="C440" t="s">
        <v>93</v>
      </c>
      <c r="D440" t="s">
        <v>108</v>
      </c>
      <c r="E440" t="s">
        <v>162</v>
      </c>
      <c r="F440" t="s">
        <v>90</v>
      </c>
      <c r="G440" t="s">
        <v>106</v>
      </c>
      <c r="H440">
        <v>2</v>
      </c>
      <c r="I440" s="7">
        <v>17.59</v>
      </c>
      <c r="J440" s="8">
        <v>0.2</v>
      </c>
      <c r="K440" s="7">
        <v>11.15</v>
      </c>
      <c r="L440" s="7">
        <f t="shared" si="36"/>
        <v>35.18</v>
      </c>
      <c r="M440" s="7">
        <f t="shared" si="37"/>
        <v>7.0360000000000005</v>
      </c>
      <c r="N440" s="7">
        <f t="shared" si="38"/>
        <v>28.143999999999998</v>
      </c>
      <c r="O440" s="7">
        <f t="shared" si="39"/>
        <v>22.3</v>
      </c>
      <c r="P440" s="7">
        <f t="shared" si="40"/>
        <v>5.8439999999999976</v>
      </c>
      <c r="Q440" s="8">
        <f t="shared" si="41"/>
        <v>0.20764638999431487</v>
      </c>
    </row>
    <row r="441" spans="1:17" ht="15" customHeight="1" x14ac:dyDescent="0.3">
      <c r="A441" t="s">
        <v>557</v>
      </c>
      <c r="B441" s="6">
        <v>45380</v>
      </c>
      <c r="C441" t="s">
        <v>93</v>
      </c>
      <c r="D441" t="s">
        <v>80</v>
      </c>
      <c r="E441" t="s">
        <v>81</v>
      </c>
      <c r="F441" t="s">
        <v>74</v>
      </c>
      <c r="G441" t="s">
        <v>83</v>
      </c>
      <c r="H441">
        <v>2</v>
      </c>
      <c r="I441" s="7">
        <v>256.88</v>
      </c>
      <c r="J441" s="8">
        <v>0</v>
      </c>
      <c r="K441" s="7">
        <v>127.63</v>
      </c>
      <c r="L441" s="7">
        <f t="shared" si="36"/>
        <v>513.76</v>
      </c>
      <c r="M441" s="7">
        <f t="shared" si="37"/>
        <v>0</v>
      </c>
      <c r="N441" s="7">
        <f t="shared" si="38"/>
        <v>513.76</v>
      </c>
      <c r="O441" s="7">
        <f t="shared" si="39"/>
        <v>255.26</v>
      </c>
      <c r="P441" s="7">
        <f t="shared" si="40"/>
        <v>258.5</v>
      </c>
      <c r="Q441" s="8">
        <f t="shared" si="41"/>
        <v>0.50315322329492373</v>
      </c>
    </row>
    <row r="442" spans="1:17" ht="15" customHeight="1" x14ac:dyDescent="0.3">
      <c r="A442" t="s">
        <v>558</v>
      </c>
      <c r="B442" s="6">
        <v>45506</v>
      </c>
      <c r="C442" t="s">
        <v>71</v>
      </c>
      <c r="D442" t="s">
        <v>80</v>
      </c>
      <c r="E442" t="s">
        <v>138</v>
      </c>
      <c r="F442" t="s">
        <v>90</v>
      </c>
      <c r="G442" t="s">
        <v>135</v>
      </c>
      <c r="H442">
        <v>2</v>
      </c>
      <c r="I442" s="7">
        <v>296.72000000000003</v>
      </c>
      <c r="J442" s="8">
        <v>0.1</v>
      </c>
      <c r="K442" s="7">
        <v>148.19999999999999</v>
      </c>
      <c r="L442" s="7">
        <f t="shared" si="36"/>
        <v>593.44000000000005</v>
      </c>
      <c r="M442" s="7">
        <f t="shared" si="37"/>
        <v>59.344000000000008</v>
      </c>
      <c r="N442" s="7">
        <f t="shared" si="38"/>
        <v>534.096</v>
      </c>
      <c r="O442" s="7">
        <f t="shared" si="39"/>
        <v>296.39999999999998</v>
      </c>
      <c r="P442" s="7">
        <f t="shared" si="40"/>
        <v>237.69600000000003</v>
      </c>
      <c r="Q442" s="8">
        <f t="shared" si="41"/>
        <v>0.44504358766963248</v>
      </c>
    </row>
    <row r="443" spans="1:17" ht="15" customHeight="1" x14ac:dyDescent="0.3">
      <c r="A443" t="s">
        <v>559</v>
      </c>
      <c r="B443" s="6">
        <v>45503</v>
      </c>
      <c r="C443" t="s">
        <v>102</v>
      </c>
      <c r="D443" t="s">
        <v>85</v>
      </c>
      <c r="E443" t="s">
        <v>86</v>
      </c>
      <c r="F443" t="s">
        <v>74</v>
      </c>
      <c r="G443" t="s">
        <v>106</v>
      </c>
      <c r="H443">
        <v>5</v>
      </c>
      <c r="I443" s="7">
        <v>413.71</v>
      </c>
      <c r="J443" s="8">
        <v>0.1</v>
      </c>
      <c r="K443" s="7">
        <v>252.68</v>
      </c>
      <c r="L443" s="7">
        <f t="shared" si="36"/>
        <v>2068.5499999999997</v>
      </c>
      <c r="M443" s="7">
        <f t="shared" si="37"/>
        <v>206.85499999999999</v>
      </c>
      <c r="N443" s="7">
        <f t="shared" si="38"/>
        <v>1861.6949999999997</v>
      </c>
      <c r="O443" s="7">
        <f t="shared" si="39"/>
        <v>1263.4000000000001</v>
      </c>
      <c r="P443" s="7">
        <f t="shared" si="40"/>
        <v>598.29499999999962</v>
      </c>
      <c r="Q443" s="8">
        <f t="shared" si="41"/>
        <v>0.32137111610655866</v>
      </c>
    </row>
    <row r="444" spans="1:17" ht="15" customHeight="1" x14ac:dyDescent="0.3">
      <c r="A444" t="s">
        <v>560</v>
      </c>
      <c r="B444" s="6">
        <v>45394</v>
      </c>
      <c r="C444" t="s">
        <v>93</v>
      </c>
      <c r="D444" t="s">
        <v>80</v>
      </c>
      <c r="E444" t="s">
        <v>89</v>
      </c>
      <c r="F444" t="s">
        <v>90</v>
      </c>
      <c r="G444" t="s">
        <v>75</v>
      </c>
      <c r="H444">
        <v>3</v>
      </c>
      <c r="I444" s="7">
        <v>173.55</v>
      </c>
      <c r="J444" s="8">
        <v>0.1</v>
      </c>
      <c r="K444" s="7">
        <v>109.39</v>
      </c>
      <c r="L444" s="7">
        <f t="shared" si="36"/>
        <v>520.65000000000009</v>
      </c>
      <c r="M444" s="7">
        <f t="shared" si="37"/>
        <v>52.065000000000012</v>
      </c>
      <c r="N444" s="7">
        <f t="shared" si="38"/>
        <v>468.58500000000009</v>
      </c>
      <c r="O444" s="7">
        <f t="shared" si="39"/>
        <v>328.17</v>
      </c>
      <c r="P444" s="7">
        <f t="shared" si="40"/>
        <v>140.41500000000008</v>
      </c>
      <c r="Q444" s="8">
        <f t="shared" si="41"/>
        <v>0.29965747943276044</v>
      </c>
    </row>
    <row r="445" spans="1:17" ht="15" customHeight="1" x14ac:dyDescent="0.3">
      <c r="A445" t="s">
        <v>561</v>
      </c>
      <c r="B445" s="6">
        <v>45655</v>
      </c>
      <c r="C445" t="s">
        <v>93</v>
      </c>
      <c r="D445" t="s">
        <v>117</v>
      </c>
      <c r="E445" t="s">
        <v>133</v>
      </c>
      <c r="F445" t="s">
        <v>90</v>
      </c>
      <c r="G445" t="s">
        <v>87</v>
      </c>
      <c r="H445">
        <v>3</v>
      </c>
      <c r="I445" s="7">
        <v>95.08</v>
      </c>
      <c r="J445" s="8">
        <v>0.2</v>
      </c>
      <c r="K445" s="7">
        <v>49.45</v>
      </c>
      <c r="L445" s="7">
        <f t="shared" si="36"/>
        <v>285.24</v>
      </c>
      <c r="M445" s="7">
        <f t="shared" si="37"/>
        <v>57.048000000000002</v>
      </c>
      <c r="N445" s="7">
        <f t="shared" si="38"/>
        <v>228.19200000000001</v>
      </c>
      <c r="O445" s="7">
        <f t="shared" si="39"/>
        <v>148.35000000000002</v>
      </c>
      <c r="P445" s="7">
        <f t="shared" si="40"/>
        <v>79.841999999999985</v>
      </c>
      <c r="Q445" s="8">
        <f t="shared" si="41"/>
        <v>0.34988956668068988</v>
      </c>
    </row>
    <row r="446" spans="1:17" ht="15" customHeight="1" x14ac:dyDescent="0.3">
      <c r="A446" t="s">
        <v>562</v>
      </c>
      <c r="B446" s="6">
        <v>45298</v>
      </c>
      <c r="C446" t="s">
        <v>93</v>
      </c>
      <c r="D446" t="s">
        <v>80</v>
      </c>
      <c r="E446" t="s">
        <v>81</v>
      </c>
      <c r="F446" t="s">
        <v>82</v>
      </c>
      <c r="G446" t="s">
        <v>135</v>
      </c>
      <c r="H446">
        <v>1</v>
      </c>
      <c r="I446" s="7">
        <v>223.64</v>
      </c>
      <c r="J446" s="8">
        <v>0.15</v>
      </c>
      <c r="K446" s="7">
        <v>97.58</v>
      </c>
      <c r="L446" s="7">
        <f t="shared" si="36"/>
        <v>223.64</v>
      </c>
      <c r="M446" s="7">
        <f t="shared" si="37"/>
        <v>33.545999999999999</v>
      </c>
      <c r="N446" s="7">
        <f t="shared" si="38"/>
        <v>190.09399999999999</v>
      </c>
      <c r="O446" s="7">
        <f t="shared" si="39"/>
        <v>97.58</v>
      </c>
      <c r="P446" s="7">
        <f t="shared" si="40"/>
        <v>92.513999999999996</v>
      </c>
      <c r="Q446" s="8">
        <f t="shared" si="41"/>
        <v>0.48667501341441599</v>
      </c>
    </row>
    <row r="447" spans="1:17" ht="15" customHeight="1" x14ac:dyDescent="0.3">
      <c r="A447" t="s">
        <v>563</v>
      </c>
      <c r="B447" s="6">
        <v>45641</v>
      </c>
      <c r="C447" t="s">
        <v>71</v>
      </c>
      <c r="D447" t="s">
        <v>72</v>
      </c>
      <c r="E447" t="s">
        <v>125</v>
      </c>
      <c r="F447" t="s">
        <v>74</v>
      </c>
      <c r="G447" t="s">
        <v>142</v>
      </c>
      <c r="H447">
        <v>1</v>
      </c>
      <c r="I447" s="7">
        <v>720.36</v>
      </c>
      <c r="J447" s="8">
        <v>0.1</v>
      </c>
      <c r="K447" s="7">
        <v>324.88</v>
      </c>
      <c r="L447" s="7">
        <f t="shared" si="36"/>
        <v>720.36</v>
      </c>
      <c r="M447" s="7">
        <f t="shared" si="37"/>
        <v>72.036000000000001</v>
      </c>
      <c r="N447" s="7">
        <f t="shared" si="38"/>
        <v>648.32400000000007</v>
      </c>
      <c r="O447" s="7">
        <f t="shared" si="39"/>
        <v>324.88</v>
      </c>
      <c r="P447" s="7">
        <f t="shared" si="40"/>
        <v>323.44400000000007</v>
      </c>
      <c r="Q447" s="8">
        <f t="shared" si="41"/>
        <v>0.49889252904411996</v>
      </c>
    </row>
    <row r="448" spans="1:17" ht="15" customHeight="1" x14ac:dyDescent="0.3">
      <c r="A448" t="s">
        <v>564</v>
      </c>
      <c r="B448" s="6">
        <v>45607</v>
      </c>
      <c r="C448" t="s">
        <v>71</v>
      </c>
      <c r="D448" t="s">
        <v>80</v>
      </c>
      <c r="E448" t="s">
        <v>113</v>
      </c>
      <c r="F448" t="s">
        <v>82</v>
      </c>
      <c r="G448" t="s">
        <v>94</v>
      </c>
      <c r="H448">
        <v>5</v>
      </c>
      <c r="I448" s="7">
        <v>278.89</v>
      </c>
      <c r="J448" s="8">
        <v>0.05</v>
      </c>
      <c r="K448" s="7">
        <v>163.32</v>
      </c>
      <c r="L448" s="7">
        <f t="shared" si="36"/>
        <v>1394.4499999999998</v>
      </c>
      <c r="M448" s="7">
        <f t="shared" si="37"/>
        <v>69.722499999999997</v>
      </c>
      <c r="N448" s="7">
        <f t="shared" si="38"/>
        <v>1324.7274999999997</v>
      </c>
      <c r="O448" s="7">
        <f t="shared" si="39"/>
        <v>816.59999999999991</v>
      </c>
      <c r="P448" s="7">
        <f t="shared" si="40"/>
        <v>508.12749999999983</v>
      </c>
      <c r="Q448" s="8">
        <f t="shared" si="41"/>
        <v>0.38357133825635831</v>
      </c>
    </row>
    <row r="449" spans="1:17" ht="15" customHeight="1" x14ac:dyDescent="0.3">
      <c r="A449" t="s">
        <v>565</v>
      </c>
      <c r="B449" s="6">
        <v>45646</v>
      </c>
      <c r="C449" t="s">
        <v>79</v>
      </c>
      <c r="D449" t="s">
        <v>80</v>
      </c>
      <c r="E449" t="s">
        <v>81</v>
      </c>
      <c r="F449" t="s">
        <v>90</v>
      </c>
      <c r="G449" t="s">
        <v>142</v>
      </c>
      <c r="H449">
        <v>4</v>
      </c>
      <c r="I449" s="7">
        <v>246.32</v>
      </c>
      <c r="J449" s="8">
        <v>0.15</v>
      </c>
      <c r="K449" s="7">
        <v>124.18</v>
      </c>
      <c r="L449" s="7">
        <f t="shared" si="36"/>
        <v>985.28</v>
      </c>
      <c r="M449" s="7">
        <f t="shared" si="37"/>
        <v>147.792</v>
      </c>
      <c r="N449" s="7">
        <f t="shared" si="38"/>
        <v>837.48799999999994</v>
      </c>
      <c r="O449" s="7">
        <f t="shared" si="39"/>
        <v>496.72</v>
      </c>
      <c r="P449" s="7">
        <f t="shared" si="40"/>
        <v>340.76799999999992</v>
      </c>
      <c r="Q449" s="8">
        <f t="shared" si="41"/>
        <v>0.40689299428767928</v>
      </c>
    </row>
    <row r="450" spans="1:17" ht="15" customHeight="1" x14ac:dyDescent="0.3">
      <c r="A450" t="s">
        <v>566</v>
      </c>
      <c r="B450" s="6">
        <v>45395</v>
      </c>
      <c r="C450" t="s">
        <v>77</v>
      </c>
      <c r="D450" t="s">
        <v>85</v>
      </c>
      <c r="E450" t="s">
        <v>173</v>
      </c>
      <c r="F450" t="s">
        <v>74</v>
      </c>
      <c r="G450" t="s">
        <v>142</v>
      </c>
      <c r="H450">
        <v>4</v>
      </c>
      <c r="I450" s="7">
        <v>418.76</v>
      </c>
      <c r="J450" s="8">
        <v>0.05</v>
      </c>
      <c r="K450" s="7">
        <v>262.93</v>
      </c>
      <c r="L450" s="7">
        <f t="shared" ref="L450:L501" si="42">H450*I450</f>
        <v>1675.04</v>
      </c>
      <c r="M450" s="7">
        <f t="shared" ref="M450:M513" si="43">L450*J450</f>
        <v>83.75200000000001</v>
      </c>
      <c r="N450" s="7">
        <f t="shared" ref="N450:N513" si="44">L450-M450</f>
        <v>1591.288</v>
      </c>
      <c r="O450" s="7">
        <f t="shared" ref="O450:O501" si="45">H450*K450</f>
        <v>1051.72</v>
      </c>
      <c r="P450" s="7">
        <f t="shared" ref="P450:P513" si="46">N450-O450</f>
        <v>539.56799999999998</v>
      </c>
      <c r="Q450" s="8">
        <f t="shared" ref="Q450:Q513" si="47">IF(N450=0,0,P450/N450)</f>
        <v>0.33907627029173848</v>
      </c>
    </row>
    <row r="451" spans="1:17" ht="15" customHeight="1" x14ac:dyDescent="0.3">
      <c r="A451" t="s">
        <v>567</v>
      </c>
      <c r="B451" s="6">
        <v>45392</v>
      </c>
      <c r="C451" t="s">
        <v>93</v>
      </c>
      <c r="D451" t="s">
        <v>85</v>
      </c>
      <c r="E451" t="s">
        <v>173</v>
      </c>
      <c r="F451" t="s">
        <v>90</v>
      </c>
      <c r="G451" t="s">
        <v>83</v>
      </c>
      <c r="H451">
        <v>2</v>
      </c>
      <c r="I451" s="7">
        <v>462.32</v>
      </c>
      <c r="J451" s="8">
        <v>0.1</v>
      </c>
      <c r="K451" s="7">
        <v>236.8</v>
      </c>
      <c r="L451" s="7">
        <f t="shared" si="42"/>
        <v>924.64</v>
      </c>
      <c r="M451" s="7">
        <f t="shared" si="43"/>
        <v>92.463999999999999</v>
      </c>
      <c r="N451" s="7">
        <f t="shared" si="44"/>
        <v>832.17599999999993</v>
      </c>
      <c r="O451" s="7">
        <f t="shared" si="45"/>
        <v>473.6</v>
      </c>
      <c r="P451" s="7">
        <f t="shared" si="46"/>
        <v>358.57599999999991</v>
      </c>
      <c r="Q451" s="8">
        <f t="shared" si="47"/>
        <v>0.43088961950356647</v>
      </c>
    </row>
    <row r="452" spans="1:17" ht="15" customHeight="1" x14ac:dyDescent="0.3">
      <c r="A452" t="s">
        <v>568</v>
      </c>
      <c r="B452" s="6">
        <v>45353</v>
      </c>
      <c r="C452" t="s">
        <v>79</v>
      </c>
      <c r="D452" t="s">
        <v>72</v>
      </c>
      <c r="E452" t="s">
        <v>125</v>
      </c>
      <c r="F452" t="s">
        <v>90</v>
      </c>
      <c r="G452" t="s">
        <v>114</v>
      </c>
      <c r="H452">
        <v>4</v>
      </c>
      <c r="I452" s="7">
        <v>801.41</v>
      </c>
      <c r="J452" s="8">
        <v>0.1</v>
      </c>
      <c r="K452" s="7">
        <v>432.08</v>
      </c>
      <c r="L452" s="7">
        <f t="shared" si="42"/>
        <v>3205.64</v>
      </c>
      <c r="M452" s="7">
        <f t="shared" si="43"/>
        <v>320.56400000000002</v>
      </c>
      <c r="N452" s="7">
        <f t="shared" si="44"/>
        <v>2885.076</v>
      </c>
      <c r="O452" s="7">
        <f t="shared" si="45"/>
        <v>1728.32</v>
      </c>
      <c r="P452" s="7">
        <f t="shared" si="46"/>
        <v>1156.7560000000001</v>
      </c>
      <c r="Q452" s="8">
        <f t="shared" si="47"/>
        <v>0.4009447238131682</v>
      </c>
    </row>
    <row r="453" spans="1:17" ht="15" customHeight="1" x14ac:dyDescent="0.3">
      <c r="A453" t="s">
        <v>569</v>
      </c>
      <c r="B453" s="6">
        <v>45461</v>
      </c>
      <c r="C453" t="s">
        <v>93</v>
      </c>
      <c r="D453" t="s">
        <v>117</v>
      </c>
      <c r="E453" t="s">
        <v>133</v>
      </c>
      <c r="F453" t="s">
        <v>82</v>
      </c>
      <c r="G453" t="s">
        <v>110</v>
      </c>
      <c r="H453">
        <v>2</v>
      </c>
      <c r="I453" s="7">
        <v>128.77000000000001</v>
      </c>
      <c r="J453" s="8">
        <v>0</v>
      </c>
      <c r="K453" s="7">
        <v>56.46</v>
      </c>
      <c r="L453" s="7">
        <f t="shared" si="42"/>
        <v>257.54000000000002</v>
      </c>
      <c r="M453" s="7">
        <f t="shared" si="43"/>
        <v>0</v>
      </c>
      <c r="N453" s="7">
        <f t="shared" si="44"/>
        <v>257.54000000000002</v>
      </c>
      <c r="O453" s="7">
        <f t="shared" si="45"/>
        <v>112.92</v>
      </c>
      <c r="P453" s="7">
        <f t="shared" si="46"/>
        <v>144.62</v>
      </c>
      <c r="Q453" s="8">
        <f t="shared" si="47"/>
        <v>0.56154383785043094</v>
      </c>
    </row>
    <row r="454" spans="1:17" ht="15" customHeight="1" x14ac:dyDescent="0.3">
      <c r="A454" t="s">
        <v>570</v>
      </c>
      <c r="B454" s="6">
        <v>45630</v>
      </c>
      <c r="C454" t="s">
        <v>77</v>
      </c>
      <c r="D454" t="s">
        <v>85</v>
      </c>
      <c r="E454" t="s">
        <v>173</v>
      </c>
      <c r="F454" t="s">
        <v>90</v>
      </c>
      <c r="G454" t="s">
        <v>83</v>
      </c>
      <c r="H454">
        <v>5</v>
      </c>
      <c r="I454" s="7">
        <v>329.32</v>
      </c>
      <c r="J454" s="8">
        <v>0.2</v>
      </c>
      <c r="K454" s="7">
        <v>161.21</v>
      </c>
      <c r="L454" s="7">
        <f t="shared" si="42"/>
        <v>1646.6</v>
      </c>
      <c r="M454" s="7">
        <f t="shared" si="43"/>
        <v>329.32</v>
      </c>
      <c r="N454" s="7">
        <f t="shared" si="44"/>
        <v>1317.28</v>
      </c>
      <c r="O454" s="7">
        <f t="shared" si="45"/>
        <v>806.05000000000007</v>
      </c>
      <c r="P454" s="7">
        <f t="shared" si="46"/>
        <v>511.2299999999999</v>
      </c>
      <c r="Q454" s="8">
        <f t="shared" si="47"/>
        <v>0.38809516579618603</v>
      </c>
    </row>
    <row r="455" spans="1:17" ht="15" customHeight="1" x14ac:dyDescent="0.3">
      <c r="A455" t="s">
        <v>571</v>
      </c>
      <c r="B455" s="6">
        <v>45326</v>
      </c>
      <c r="C455" t="s">
        <v>79</v>
      </c>
      <c r="D455" t="s">
        <v>85</v>
      </c>
      <c r="E455" t="s">
        <v>173</v>
      </c>
      <c r="F455" t="s">
        <v>74</v>
      </c>
      <c r="G455" t="s">
        <v>114</v>
      </c>
      <c r="H455">
        <v>2</v>
      </c>
      <c r="I455" s="7">
        <v>465.15</v>
      </c>
      <c r="J455" s="8">
        <v>0.15</v>
      </c>
      <c r="K455" s="7">
        <v>249.21</v>
      </c>
      <c r="L455" s="7">
        <f t="shared" si="42"/>
        <v>930.3</v>
      </c>
      <c r="M455" s="7">
        <f t="shared" si="43"/>
        <v>139.54499999999999</v>
      </c>
      <c r="N455" s="7">
        <f t="shared" si="44"/>
        <v>790.755</v>
      </c>
      <c r="O455" s="7">
        <f t="shared" si="45"/>
        <v>498.42</v>
      </c>
      <c r="P455" s="7">
        <f t="shared" si="46"/>
        <v>292.33499999999998</v>
      </c>
      <c r="Q455" s="8">
        <f t="shared" si="47"/>
        <v>0.36969099152076179</v>
      </c>
    </row>
    <row r="456" spans="1:17" ht="15" customHeight="1" x14ac:dyDescent="0.3">
      <c r="A456" t="s">
        <v>572</v>
      </c>
      <c r="B456" s="6">
        <v>45631</v>
      </c>
      <c r="C456" t="s">
        <v>71</v>
      </c>
      <c r="D456" t="s">
        <v>108</v>
      </c>
      <c r="E456" t="s">
        <v>200</v>
      </c>
      <c r="F456" t="s">
        <v>74</v>
      </c>
      <c r="G456" t="s">
        <v>75</v>
      </c>
      <c r="H456">
        <v>12</v>
      </c>
      <c r="I456" s="7">
        <v>24.14</v>
      </c>
      <c r="J456" s="8">
        <v>0.1</v>
      </c>
      <c r="K456" s="7">
        <v>10.97</v>
      </c>
      <c r="L456" s="7">
        <f t="shared" si="42"/>
        <v>289.68</v>
      </c>
      <c r="M456" s="7">
        <f t="shared" si="43"/>
        <v>28.968000000000004</v>
      </c>
      <c r="N456" s="7">
        <f t="shared" si="44"/>
        <v>260.71199999999999</v>
      </c>
      <c r="O456" s="7">
        <f t="shared" si="45"/>
        <v>131.64000000000001</v>
      </c>
      <c r="P456" s="7">
        <f t="shared" si="46"/>
        <v>129.07199999999997</v>
      </c>
      <c r="Q456" s="8">
        <f t="shared" si="47"/>
        <v>0.49507502531529035</v>
      </c>
    </row>
    <row r="457" spans="1:17" ht="15" customHeight="1" x14ac:dyDescent="0.3">
      <c r="A457" t="s">
        <v>573</v>
      </c>
      <c r="B457" s="6">
        <v>45350</v>
      </c>
      <c r="C457" t="s">
        <v>102</v>
      </c>
      <c r="D457" t="s">
        <v>80</v>
      </c>
      <c r="E457" t="s">
        <v>138</v>
      </c>
      <c r="F457" t="s">
        <v>90</v>
      </c>
      <c r="G457" t="s">
        <v>110</v>
      </c>
      <c r="H457">
        <v>4</v>
      </c>
      <c r="I457" s="7">
        <v>247.03</v>
      </c>
      <c r="J457" s="8">
        <v>0.05</v>
      </c>
      <c r="K457" s="7">
        <v>154.66999999999999</v>
      </c>
      <c r="L457" s="7">
        <f t="shared" si="42"/>
        <v>988.12</v>
      </c>
      <c r="M457" s="7">
        <f t="shared" si="43"/>
        <v>49.406000000000006</v>
      </c>
      <c r="N457" s="7">
        <f t="shared" si="44"/>
        <v>938.71399999999994</v>
      </c>
      <c r="O457" s="7">
        <f t="shared" si="45"/>
        <v>618.67999999999995</v>
      </c>
      <c r="P457" s="7">
        <f t="shared" si="46"/>
        <v>320.03399999999999</v>
      </c>
      <c r="Q457" s="8">
        <f t="shared" si="47"/>
        <v>0.34092812081208973</v>
      </c>
    </row>
    <row r="458" spans="1:17" ht="15" customHeight="1" x14ac:dyDescent="0.3">
      <c r="A458" t="s">
        <v>574</v>
      </c>
      <c r="B458" s="6">
        <v>45487</v>
      </c>
      <c r="C458" t="s">
        <v>79</v>
      </c>
      <c r="D458" t="s">
        <v>80</v>
      </c>
      <c r="E458" t="s">
        <v>138</v>
      </c>
      <c r="F458" t="s">
        <v>74</v>
      </c>
      <c r="G458" t="s">
        <v>87</v>
      </c>
      <c r="H458">
        <v>1</v>
      </c>
      <c r="I458" s="7">
        <v>286.55</v>
      </c>
      <c r="J458" s="8">
        <v>0.15</v>
      </c>
      <c r="K458" s="7">
        <v>133</v>
      </c>
      <c r="L458" s="7">
        <f t="shared" si="42"/>
        <v>286.55</v>
      </c>
      <c r="M458" s="7">
        <f t="shared" si="43"/>
        <v>42.982500000000002</v>
      </c>
      <c r="N458" s="7">
        <f t="shared" si="44"/>
        <v>243.5675</v>
      </c>
      <c r="O458" s="7">
        <f t="shared" si="45"/>
        <v>133</v>
      </c>
      <c r="P458" s="7">
        <f t="shared" si="46"/>
        <v>110.5675</v>
      </c>
      <c r="Q458" s="8">
        <f t="shared" si="47"/>
        <v>0.4539501370256705</v>
      </c>
    </row>
    <row r="459" spans="1:17" ht="15" customHeight="1" x14ac:dyDescent="0.3">
      <c r="A459" t="s">
        <v>575</v>
      </c>
      <c r="B459" s="6">
        <v>45552</v>
      </c>
      <c r="C459" t="s">
        <v>93</v>
      </c>
      <c r="D459" t="s">
        <v>85</v>
      </c>
      <c r="E459" t="s">
        <v>100</v>
      </c>
      <c r="F459" t="s">
        <v>82</v>
      </c>
      <c r="G459" t="s">
        <v>114</v>
      </c>
      <c r="H459">
        <v>1</v>
      </c>
      <c r="I459" s="7">
        <v>369.76</v>
      </c>
      <c r="J459" s="8">
        <v>0.1</v>
      </c>
      <c r="K459" s="7">
        <v>230.94</v>
      </c>
      <c r="L459" s="7">
        <f t="shared" si="42"/>
        <v>369.76</v>
      </c>
      <c r="M459" s="7">
        <f t="shared" si="43"/>
        <v>36.975999999999999</v>
      </c>
      <c r="N459" s="7">
        <f t="shared" si="44"/>
        <v>332.78399999999999</v>
      </c>
      <c r="O459" s="7">
        <f t="shared" si="45"/>
        <v>230.94</v>
      </c>
      <c r="P459" s="7">
        <f t="shared" si="46"/>
        <v>101.84399999999999</v>
      </c>
      <c r="Q459" s="8">
        <f t="shared" si="47"/>
        <v>0.30603634790134138</v>
      </c>
    </row>
    <row r="460" spans="1:17" ht="15" customHeight="1" x14ac:dyDescent="0.3">
      <c r="A460" t="s">
        <v>576</v>
      </c>
      <c r="B460" s="6">
        <v>45377</v>
      </c>
      <c r="C460" t="s">
        <v>93</v>
      </c>
      <c r="D460" t="s">
        <v>117</v>
      </c>
      <c r="E460" t="s">
        <v>121</v>
      </c>
      <c r="F460" t="s">
        <v>74</v>
      </c>
      <c r="G460" t="s">
        <v>94</v>
      </c>
      <c r="H460">
        <v>5</v>
      </c>
      <c r="I460" s="7">
        <v>177.28</v>
      </c>
      <c r="J460" s="8">
        <v>0.2</v>
      </c>
      <c r="K460" s="7">
        <v>71.239999999999995</v>
      </c>
      <c r="L460" s="7">
        <f t="shared" si="42"/>
        <v>886.4</v>
      </c>
      <c r="M460" s="7">
        <f t="shared" si="43"/>
        <v>177.28</v>
      </c>
      <c r="N460" s="7">
        <f t="shared" si="44"/>
        <v>709.12</v>
      </c>
      <c r="O460" s="7">
        <f t="shared" si="45"/>
        <v>356.2</v>
      </c>
      <c r="P460" s="7">
        <f t="shared" si="46"/>
        <v>352.92</v>
      </c>
      <c r="Q460" s="8">
        <f t="shared" si="47"/>
        <v>0.49768727436823107</v>
      </c>
    </row>
    <row r="461" spans="1:17" ht="15" customHeight="1" x14ac:dyDescent="0.3">
      <c r="A461" t="s">
        <v>577</v>
      </c>
      <c r="B461" s="6">
        <v>45345</v>
      </c>
      <c r="C461" t="s">
        <v>79</v>
      </c>
      <c r="D461" t="s">
        <v>72</v>
      </c>
      <c r="E461" t="s">
        <v>125</v>
      </c>
      <c r="F461" t="s">
        <v>90</v>
      </c>
      <c r="G461" t="s">
        <v>135</v>
      </c>
      <c r="H461">
        <v>4</v>
      </c>
      <c r="I461" s="7">
        <v>691.57</v>
      </c>
      <c r="J461" s="8">
        <v>0</v>
      </c>
      <c r="K461" s="7">
        <v>405.76</v>
      </c>
      <c r="L461" s="7">
        <f t="shared" si="42"/>
        <v>2766.28</v>
      </c>
      <c r="M461" s="7">
        <f t="shared" si="43"/>
        <v>0</v>
      </c>
      <c r="N461" s="7">
        <f t="shared" si="44"/>
        <v>2766.28</v>
      </c>
      <c r="O461" s="7">
        <f t="shared" si="45"/>
        <v>1623.04</v>
      </c>
      <c r="P461" s="7">
        <f t="shared" si="46"/>
        <v>1143.2400000000002</v>
      </c>
      <c r="Q461" s="8">
        <f t="shared" si="47"/>
        <v>0.41327703630868901</v>
      </c>
    </row>
    <row r="462" spans="1:17" ht="15" customHeight="1" x14ac:dyDescent="0.3">
      <c r="A462" t="s">
        <v>578</v>
      </c>
      <c r="B462" s="6">
        <v>45311</v>
      </c>
      <c r="C462" t="s">
        <v>102</v>
      </c>
      <c r="D462" t="s">
        <v>117</v>
      </c>
      <c r="E462" t="s">
        <v>131</v>
      </c>
      <c r="F462" t="s">
        <v>90</v>
      </c>
      <c r="G462" t="s">
        <v>87</v>
      </c>
      <c r="H462">
        <v>1</v>
      </c>
      <c r="I462" s="7">
        <v>92.4</v>
      </c>
      <c r="J462" s="8">
        <v>0.05</v>
      </c>
      <c r="K462" s="7">
        <v>55.31</v>
      </c>
      <c r="L462" s="7">
        <f t="shared" si="42"/>
        <v>92.4</v>
      </c>
      <c r="M462" s="7">
        <f t="shared" si="43"/>
        <v>4.62</v>
      </c>
      <c r="N462" s="7">
        <f t="shared" si="44"/>
        <v>87.78</v>
      </c>
      <c r="O462" s="7">
        <f t="shared" si="45"/>
        <v>55.31</v>
      </c>
      <c r="P462" s="7">
        <f t="shared" si="46"/>
        <v>32.47</v>
      </c>
      <c r="Q462" s="8">
        <f t="shared" si="47"/>
        <v>0.36990202779676462</v>
      </c>
    </row>
    <row r="463" spans="1:17" ht="15" customHeight="1" x14ac:dyDescent="0.3">
      <c r="A463" t="s">
        <v>579</v>
      </c>
      <c r="B463" s="6">
        <v>45500</v>
      </c>
      <c r="C463" t="s">
        <v>93</v>
      </c>
      <c r="D463" t="s">
        <v>80</v>
      </c>
      <c r="E463" t="s">
        <v>113</v>
      </c>
      <c r="F463" t="s">
        <v>74</v>
      </c>
      <c r="G463" t="s">
        <v>142</v>
      </c>
      <c r="H463">
        <v>4</v>
      </c>
      <c r="I463" s="7">
        <v>202.09</v>
      </c>
      <c r="J463" s="8">
        <v>0.15</v>
      </c>
      <c r="K463" s="7">
        <v>96.82</v>
      </c>
      <c r="L463" s="7">
        <f t="shared" si="42"/>
        <v>808.36</v>
      </c>
      <c r="M463" s="7">
        <f t="shared" si="43"/>
        <v>121.25399999999999</v>
      </c>
      <c r="N463" s="7">
        <f t="shared" si="44"/>
        <v>687.10599999999999</v>
      </c>
      <c r="O463" s="7">
        <f t="shared" si="45"/>
        <v>387.28</v>
      </c>
      <c r="P463" s="7">
        <f t="shared" si="46"/>
        <v>299.82600000000002</v>
      </c>
      <c r="Q463" s="8">
        <f t="shared" si="47"/>
        <v>0.43636061975881452</v>
      </c>
    </row>
    <row r="464" spans="1:17" ht="15" customHeight="1" x14ac:dyDescent="0.3">
      <c r="A464" t="s">
        <v>580</v>
      </c>
      <c r="B464" s="6">
        <v>45324</v>
      </c>
      <c r="C464" t="s">
        <v>93</v>
      </c>
      <c r="D464" t="s">
        <v>108</v>
      </c>
      <c r="E464" t="s">
        <v>200</v>
      </c>
      <c r="F464" t="s">
        <v>74</v>
      </c>
      <c r="G464" t="s">
        <v>83</v>
      </c>
      <c r="H464">
        <v>19</v>
      </c>
      <c r="I464" s="7">
        <v>32.619999999999997</v>
      </c>
      <c r="J464" s="8">
        <v>0</v>
      </c>
      <c r="K464" s="7">
        <v>18.760000000000002</v>
      </c>
      <c r="L464" s="7">
        <f t="shared" si="42"/>
        <v>619.78</v>
      </c>
      <c r="M464" s="7">
        <f t="shared" si="43"/>
        <v>0</v>
      </c>
      <c r="N464" s="7">
        <f t="shared" si="44"/>
        <v>619.78</v>
      </c>
      <c r="O464" s="7">
        <f t="shared" si="45"/>
        <v>356.44000000000005</v>
      </c>
      <c r="P464" s="7">
        <f t="shared" si="46"/>
        <v>263.33999999999992</v>
      </c>
      <c r="Q464" s="8">
        <f t="shared" si="47"/>
        <v>0.42489270386266081</v>
      </c>
    </row>
    <row r="465" spans="1:17" ht="15" customHeight="1" x14ac:dyDescent="0.3">
      <c r="A465" t="s">
        <v>581</v>
      </c>
      <c r="B465" s="6">
        <v>45643</v>
      </c>
      <c r="C465" t="s">
        <v>93</v>
      </c>
      <c r="D465" t="s">
        <v>72</v>
      </c>
      <c r="E465" t="s">
        <v>123</v>
      </c>
      <c r="F465" t="s">
        <v>74</v>
      </c>
      <c r="G465" t="s">
        <v>142</v>
      </c>
      <c r="H465">
        <v>1</v>
      </c>
      <c r="I465" s="7">
        <v>752.86</v>
      </c>
      <c r="J465" s="8">
        <v>0.1</v>
      </c>
      <c r="K465" s="7">
        <v>445.18</v>
      </c>
      <c r="L465" s="7">
        <f t="shared" si="42"/>
        <v>752.86</v>
      </c>
      <c r="M465" s="7">
        <f t="shared" si="43"/>
        <v>75.286000000000001</v>
      </c>
      <c r="N465" s="7">
        <f t="shared" si="44"/>
        <v>677.57400000000007</v>
      </c>
      <c r="O465" s="7">
        <f t="shared" si="45"/>
        <v>445.18</v>
      </c>
      <c r="P465" s="7">
        <f t="shared" si="46"/>
        <v>232.39400000000006</v>
      </c>
      <c r="Q465" s="8">
        <f t="shared" si="47"/>
        <v>0.34297951220088141</v>
      </c>
    </row>
    <row r="466" spans="1:17" ht="15" customHeight="1" x14ac:dyDescent="0.3">
      <c r="A466" t="s">
        <v>582</v>
      </c>
      <c r="B466" s="6">
        <v>45534</v>
      </c>
      <c r="C466" t="s">
        <v>102</v>
      </c>
      <c r="D466" t="s">
        <v>108</v>
      </c>
      <c r="E466" t="s">
        <v>162</v>
      </c>
      <c r="F466" t="s">
        <v>90</v>
      </c>
      <c r="G466" t="s">
        <v>110</v>
      </c>
      <c r="H466">
        <v>8</v>
      </c>
      <c r="I466" s="7">
        <v>20.63</v>
      </c>
      <c r="J466" s="8">
        <v>0.05</v>
      </c>
      <c r="K466" s="7">
        <v>12.1</v>
      </c>
      <c r="L466" s="7">
        <f t="shared" si="42"/>
        <v>165.04</v>
      </c>
      <c r="M466" s="7">
        <f t="shared" si="43"/>
        <v>8.2520000000000007</v>
      </c>
      <c r="N466" s="7">
        <f t="shared" si="44"/>
        <v>156.78799999999998</v>
      </c>
      <c r="O466" s="7">
        <f t="shared" si="45"/>
        <v>96.8</v>
      </c>
      <c r="P466" s="7">
        <f t="shared" si="46"/>
        <v>59.987999999999985</v>
      </c>
      <c r="Q466" s="8">
        <f t="shared" si="47"/>
        <v>0.38260581166926033</v>
      </c>
    </row>
    <row r="467" spans="1:17" ht="15" customHeight="1" x14ac:dyDescent="0.3">
      <c r="A467" t="s">
        <v>583</v>
      </c>
      <c r="B467" s="6">
        <v>45297</v>
      </c>
      <c r="C467" t="s">
        <v>79</v>
      </c>
      <c r="D467" t="s">
        <v>80</v>
      </c>
      <c r="E467" t="s">
        <v>89</v>
      </c>
      <c r="F467" t="s">
        <v>82</v>
      </c>
      <c r="G467" t="s">
        <v>87</v>
      </c>
      <c r="H467">
        <v>5</v>
      </c>
      <c r="I467" s="7">
        <v>228.56</v>
      </c>
      <c r="J467" s="8">
        <v>0.05</v>
      </c>
      <c r="K467" s="7">
        <v>98.47</v>
      </c>
      <c r="L467" s="7">
        <f t="shared" si="42"/>
        <v>1142.8</v>
      </c>
      <c r="M467" s="7">
        <f t="shared" si="43"/>
        <v>57.14</v>
      </c>
      <c r="N467" s="7">
        <f t="shared" si="44"/>
        <v>1085.6599999999999</v>
      </c>
      <c r="O467" s="7">
        <f t="shared" si="45"/>
        <v>492.35</v>
      </c>
      <c r="P467" s="7">
        <f t="shared" si="46"/>
        <v>593.30999999999983</v>
      </c>
      <c r="Q467" s="8">
        <f t="shared" si="47"/>
        <v>0.54649706169518997</v>
      </c>
    </row>
    <row r="468" spans="1:17" ht="15" customHeight="1" x14ac:dyDescent="0.3">
      <c r="A468" t="s">
        <v>584</v>
      </c>
      <c r="B468" s="6">
        <v>45572</v>
      </c>
      <c r="C468" t="s">
        <v>93</v>
      </c>
      <c r="D468" t="s">
        <v>72</v>
      </c>
      <c r="E468" t="s">
        <v>98</v>
      </c>
      <c r="F468" t="s">
        <v>82</v>
      </c>
      <c r="G468" t="s">
        <v>114</v>
      </c>
      <c r="H468">
        <v>3</v>
      </c>
      <c r="I468" s="7">
        <v>1166.07</v>
      </c>
      <c r="J468" s="8">
        <v>0.05</v>
      </c>
      <c r="K468" s="7">
        <v>684.57</v>
      </c>
      <c r="L468" s="7">
        <f t="shared" si="42"/>
        <v>3498.21</v>
      </c>
      <c r="M468" s="7">
        <f t="shared" si="43"/>
        <v>174.91050000000001</v>
      </c>
      <c r="N468" s="7">
        <f t="shared" si="44"/>
        <v>3323.2995000000001</v>
      </c>
      <c r="O468" s="7">
        <f t="shared" si="45"/>
        <v>2053.71</v>
      </c>
      <c r="P468" s="7">
        <f t="shared" si="46"/>
        <v>1269.5895</v>
      </c>
      <c r="Q468" s="8">
        <f t="shared" si="47"/>
        <v>0.38202680799608946</v>
      </c>
    </row>
    <row r="469" spans="1:17" ht="15" customHeight="1" x14ac:dyDescent="0.3">
      <c r="A469" t="s">
        <v>585</v>
      </c>
      <c r="B469" s="6">
        <v>45364</v>
      </c>
      <c r="C469" t="s">
        <v>102</v>
      </c>
      <c r="D469" t="s">
        <v>85</v>
      </c>
      <c r="E469" t="s">
        <v>103</v>
      </c>
      <c r="F469" t="s">
        <v>90</v>
      </c>
      <c r="G469" t="s">
        <v>114</v>
      </c>
      <c r="H469">
        <v>2</v>
      </c>
      <c r="I469" s="7">
        <v>290.07</v>
      </c>
      <c r="J469" s="8">
        <v>0.2</v>
      </c>
      <c r="K469" s="7">
        <v>176.56</v>
      </c>
      <c r="L469" s="7">
        <f t="shared" si="42"/>
        <v>580.14</v>
      </c>
      <c r="M469" s="7">
        <f t="shared" si="43"/>
        <v>116.02800000000001</v>
      </c>
      <c r="N469" s="7">
        <f t="shared" si="44"/>
        <v>464.11199999999997</v>
      </c>
      <c r="O469" s="7">
        <f t="shared" si="45"/>
        <v>353.12</v>
      </c>
      <c r="P469" s="7">
        <f t="shared" si="46"/>
        <v>110.99199999999996</v>
      </c>
      <c r="Q469" s="8">
        <f t="shared" si="47"/>
        <v>0.23914917088978516</v>
      </c>
    </row>
    <row r="470" spans="1:17" ht="15" customHeight="1" x14ac:dyDescent="0.3">
      <c r="A470" t="s">
        <v>586</v>
      </c>
      <c r="B470" s="6">
        <v>45319</v>
      </c>
      <c r="C470" t="s">
        <v>79</v>
      </c>
      <c r="D470" t="s">
        <v>117</v>
      </c>
      <c r="E470" t="s">
        <v>131</v>
      </c>
      <c r="F470" t="s">
        <v>90</v>
      </c>
      <c r="G470" t="s">
        <v>83</v>
      </c>
      <c r="H470">
        <v>5</v>
      </c>
      <c r="I470" s="7">
        <v>165.73</v>
      </c>
      <c r="J470" s="8">
        <v>0.15</v>
      </c>
      <c r="K470" s="7">
        <v>93</v>
      </c>
      <c r="L470" s="7">
        <f t="shared" si="42"/>
        <v>828.65</v>
      </c>
      <c r="M470" s="7">
        <f t="shared" si="43"/>
        <v>124.29749999999999</v>
      </c>
      <c r="N470" s="7">
        <f t="shared" si="44"/>
        <v>704.35249999999996</v>
      </c>
      <c r="O470" s="7">
        <f t="shared" si="45"/>
        <v>465</v>
      </c>
      <c r="P470" s="7">
        <f t="shared" si="46"/>
        <v>239.35249999999996</v>
      </c>
      <c r="Q470" s="8">
        <f t="shared" si="47"/>
        <v>0.33981919564422641</v>
      </c>
    </row>
    <row r="471" spans="1:17" ht="15" customHeight="1" x14ac:dyDescent="0.3">
      <c r="A471" t="s">
        <v>587</v>
      </c>
      <c r="B471" s="6">
        <v>45393</v>
      </c>
      <c r="C471" t="s">
        <v>77</v>
      </c>
      <c r="D471" t="s">
        <v>72</v>
      </c>
      <c r="E471" t="s">
        <v>123</v>
      </c>
      <c r="F471" t="s">
        <v>82</v>
      </c>
      <c r="G471" t="s">
        <v>94</v>
      </c>
      <c r="H471">
        <v>4</v>
      </c>
      <c r="I471" s="7">
        <v>1024.3800000000001</v>
      </c>
      <c r="J471" s="8">
        <v>0.1</v>
      </c>
      <c r="K471" s="7">
        <v>501.21</v>
      </c>
      <c r="L471" s="7">
        <f t="shared" si="42"/>
        <v>4097.5200000000004</v>
      </c>
      <c r="M471" s="7">
        <f t="shared" si="43"/>
        <v>409.75200000000007</v>
      </c>
      <c r="N471" s="7">
        <f t="shared" si="44"/>
        <v>3687.7680000000005</v>
      </c>
      <c r="O471" s="7">
        <f t="shared" si="45"/>
        <v>2004.84</v>
      </c>
      <c r="P471" s="7">
        <f t="shared" si="46"/>
        <v>1682.9280000000006</v>
      </c>
      <c r="Q471" s="8">
        <f t="shared" si="47"/>
        <v>0.4563540873503974</v>
      </c>
    </row>
    <row r="472" spans="1:17" ht="15" customHeight="1" x14ac:dyDescent="0.3">
      <c r="A472" t="s">
        <v>588</v>
      </c>
      <c r="B472" s="6">
        <v>45391</v>
      </c>
      <c r="C472" t="s">
        <v>71</v>
      </c>
      <c r="D472" t="s">
        <v>117</v>
      </c>
      <c r="E472" t="s">
        <v>131</v>
      </c>
      <c r="F472" t="s">
        <v>90</v>
      </c>
      <c r="G472" t="s">
        <v>94</v>
      </c>
      <c r="H472">
        <v>4</v>
      </c>
      <c r="I472" s="7">
        <v>114.51</v>
      </c>
      <c r="J472" s="8">
        <v>0.1</v>
      </c>
      <c r="K472" s="7">
        <v>63.45</v>
      </c>
      <c r="L472" s="7">
        <f t="shared" si="42"/>
        <v>458.04</v>
      </c>
      <c r="M472" s="7">
        <f t="shared" si="43"/>
        <v>45.804000000000002</v>
      </c>
      <c r="N472" s="7">
        <f t="shared" si="44"/>
        <v>412.23599999999999</v>
      </c>
      <c r="O472" s="7">
        <f t="shared" si="45"/>
        <v>253.8</v>
      </c>
      <c r="P472" s="7">
        <f t="shared" si="46"/>
        <v>158.43599999999998</v>
      </c>
      <c r="Q472" s="8">
        <f t="shared" si="47"/>
        <v>0.38433324600471569</v>
      </c>
    </row>
    <row r="473" spans="1:17" ht="15" customHeight="1" x14ac:dyDescent="0.3">
      <c r="A473" t="s">
        <v>589</v>
      </c>
      <c r="B473" s="6">
        <v>45478</v>
      </c>
      <c r="C473" t="s">
        <v>79</v>
      </c>
      <c r="D473" t="s">
        <v>85</v>
      </c>
      <c r="E473" t="s">
        <v>173</v>
      </c>
      <c r="F473" t="s">
        <v>90</v>
      </c>
      <c r="G473" t="s">
        <v>83</v>
      </c>
      <c r="H473">
        <v>4</v>
      </c>
      <c r="I473" s="7">
        <v>471.16</v>
      </c>
      <c r="J473" s="8">
        <v>0.05</v>
      </c>
      <c r="K473" s="7">
        <v>189.03</v>
      </c>
      <c r="L473" s="7">
        <f t="shared" si="42"/>
        <v>1884.64</v>
      </c>
      <c r="M473" s="7">
        <f t="shared" si="43"/>
        <v>94.232000000000014</v>
      </c>
      <c r="N473" s="7">
        <f t="shared" si="44"/>
        <v>1790.4080000000001</v>
      </c>
      <c r="O473" s="7">
        <f t="shared" si="45"/>
        <v>756.12</v>
      </c>
      <c r="P473" s="7">
        <f t="shared" si="46"/>
        <v>1034.288</v>
      </c>
      <c r="Q473" s="8">
        <f t="shared" si="47"/>
        <v>0.57768285217671056</v>
      </c>
    </row>
    <row r="474" spans="1:17" ht="15" customHeight="1" x14ac:dyDescent="0.3">
      <c r="A474" t="s">
        <v>590</v>
      </c>
      <c r="B474" s="6">
        <v>45360</v>
      </c>
      <c r="C474" t="s">
        <v>102</v>
      </c>
      <c r="D474" t="s">
        <v>117</v>
      </c>
      <c r="E474" t="s">
        <v>133</v>
      </c>
      <c r="F474" t="s">
        <v>82</v>
      </c>
      <c r="G474" t="s">
        <v>87</v>
      </c>
      <c r="H474">
        <v>3</v>
      </c>
      <c r="I474" s="7">
        <v>149.24</v>
      </c>
      <c r="J474" s="8">
        <v>0.15</v>
      </c>
      <c r="K474" s="7">
        <v>76.959999999999994</v>
      </c>
      <c r="L474" s="7">
        <f t="shared" si="42"/>
        <v>447.72</v>
      </c>
      <c r="M474" s="7">
        <f t="shared" si="43"/>
        <v>67.158000000000001</v>
      </c>
      <c r="N474" s="7">
        <f t="shared" si="44"/>
        <v>380.56200000000001</v>
      </c>
      <c r="O474" s="7">
        <f t="shared" si="45"/>
        <v>230.88</v>
      </c>
      <c r="P474" s="7">
        <f t="shared" si="46"/>
        <v>149.68200000000002</v>
      </c>
      <c r="Q474" s="8">
        <f t="shared" si="47"/>
        <v>0.39331830293092851</v>
      </c>
    </row>
    <row r="475" spans="1:17" ht="15" customHeight="1" x14ac:dyDescent="0.3">
      <c r="A475" t="s">
        <v>591</v>
      </c>
      <c r="B475" s="6">
        <v>45381</v>
      </c>
      <c r="C475" t="s">
        <v>102</v>
      </c>
      <c r="D475" t="s">
        <v>85</v>
      </c>
      <c r="E475" t="s">
        <v>86</v>
      </c>
      <c r="F475" t="s">
        <v>90</v>
      </c>
      <c r="G475" t="s">
        <v>94</v>
      </c>
      <c r="H475">
        <v>1</v>
      </c>
      <c r="I475" s="7">
        <v>425.75</v>
      </c>
      <c r="J475" s="8">
        <v>0.1</v>
      </c>
      <c r="K475" s="7">
        <v>261.7</v>
      </c>
      <c r="L475" s="7">
        <f t="shared" si="42"/>
        <v>425.75</v>
      </c>
      <c r="M475" s="7">
        <f t="shared" si="43"/>
        <v>42.575000000000003</v>
      </c>
      <c r="N475" s="7">
        <f t="shared" si="44"/>
        <v>383.17500000000001</v>
      </c>
      <c r="O475" s="7">
        <f t="shared" si="45"/>
        <v>261.7</v>
      </c>
      <c r="P475" s="7">
        <f t="shared" si="46"/>
        <v>121.47500000000002</v>
      </c>
      <c r="Q475" s="8">
        <f t="shared" si="47"/>
        <v>0.31702224831995829</v>
      </c>
    </row>
    <row r="476" spans="1:17" ht="15" customHeight="1" x14ac:dyDescent="0.3">
      <c r="A476" t="s">
        <v>592</v>
      </c>
      <c r="B476" s="6">
        <v>45330</v>
      </c>
      <c r="C476" t="s">
        <v>79</v>
      </c>
      <c r="D476" t="s">
        <v>117</v>
      </c>
      <c r="E476" t="s">
        <v>118</v>
      </c>
      <c r="F476" t="s">
        <v>82</v>
      </c>
      <c r="G476" t="s">
        <v>94</v>
      </c>
      <c r="H476">
        <v>5</v>
      </c>
      <c r="I476" s="7">
        <v>169.64</v>
      </c>
      <c r="J476" s="8">
        <v>0</v>
      </c>
      <c r="K476" s="7">
        <v>102.32</v>
      </c>
      <c r="L476" s="7">
        <f t="shared" si="42"/>
        <v>848.19999999999993</v>
      </c>
      <c r="M476" s="7">
        <f t="shared" si="43"/>
        <v>0</v>
      </c>
      <c r="N476" s="7">
        <f t="shared" si="44"/>
        <v>848.19999999999993</v>
      </c>
      <c r="O476" s="7">
        <f t="shared" si="45"/>
        <v>511.59999999999997</v>
      </c>
      <c r="P476" s="7">
        <f t="shared" si="46"/>
        <v>336.59999999999997</v>
      </c>
      <c r="Q476" s="8">
        <f t="shared" si="47"/>
        <v>0.3968403678377741</v>
      </c>
    </row>
    <row r="477" spans="1:17" ht="15" customHeight="1" x14ac:dyDescent="0.3">
      <c r="A477" t="s">
        <v>593</v>
      </c>
      <c r="B477" s="6">
        <v>45574</v>
      </c>
      <c r="C477" t="s">
        <v>93</v>
      </c>
      <c r="D477" t="s">
        <v>80</v>
      </c>
      <c r="E477" t="s">
        <v>81</v>
      </c>
      <c r="F477" t="s">
        <v>74</v>
      </c>
      <c r="G477" t="s">
        <v>110</v>
      </c>
      <c r="H477">
        <v>5</v>
      </c>
      <c r="I477" s="7">
        <v>181.7</v>
      </c>
      <c r="J477" s="8">
        <v>0.15</v>
      </c>
      <c r="K477" s="7">
        <v>102.38</v>
      </c>
      <c r="L477" s="7">
        <f t="shared" si="42"/>
        <v>908.5</v>
      </c>
      <c r="M477" s="7">
        <f t="shared" si="43"/>
        <v>136.27500000000001</v>
      </c>
      <c r="N477" s="7">
        <f t="shared" si="44"/>
        <v>772.22500000000002</v>
      </c>
      <c r="O477" s="7">
        <f t="shared" si="45"/>
        <v>511.9</v>
      </c>
      <c r="P477" s="7">
        <f t="shared" si="46"/>
        <v>260.32500000000005</v>
      </c>
      <c r="Q477" s="8">
        <f t="shared" si="47"/>
        <v>0.33711029816439514</v>
      </c>
    </row>
    <row r="478" spans="1:17" ht="15" customHeight="1" x14ac:dyDescent="0.3">
      <c r="A478" t="s">
        <v>594</v>
      </c>
      <c r="B478" s="6">
        <v>45440</v>
      </c>
      <c r="C478" t="s">
        <v>102</v>
      </c>
      <c r="D478" t="s">
        <v>117</v>
      </c>
      <c r="E478" t="s">
        <v>121</v>
      </c>
      <c r="F478" t="s">
        <v>74</v>
      </c>
      <c r="G478" t="s">
        <v>83</v>
      </c>
      <c r="H478">
        <v>5</v>
      </c>
      <c r="I478" s="7">
        <v>96.85</v>
      </c>
      <c r="J478" s="8">
        <v>0.2</v>
      </c>
      <c r="K478" s="7">
        <v>40.93</v>
      </c>
      <c r="L478" s="7">
        <f t="shared" si="42"/>
        <v>484.25</v>
      </c>
      <c r="M478" s="7">
        <f t="shared" si="43"/>
        <v>96.850000000000009</v>
      </c>
      <c r="N478" s="7">
        <f t="shared" si="44"/>
        <v>387.4</v>
      </c>
      <c r="O478" s="7">
        <f t="shared" si="45"/>
        <v>204.65</v>
      </c>
      <c r="P478" s="7">
        <f t="shared" si="46"/>
        <v>182.74999999999997</v>
      </c>
      <c r="Q478" s="8">
        <f t="shared" si="47"/>
        <v>0.4717346411977284</v>
      </c>
    </row>
    <row r="479" spans="1:17" ht="15" customHeight="1" x14ac:dyDescent="0.3">
      <c r="A479" t="s">
        <v>595</v>
      </c>
      <c r="B479" s="6">
        <v>45606</v>
      </c>
      <c r="C479" t="s">
        <v>77</v>
      </c>
      <c r="D479" t="s">
        <v>85</v>
      </c>
      <c r="E479" t="s">
        <v>173</v>
      </c>
      <c r="F479" t="s">
        <v>90</v>
      </c>
      <c r="G479" t="s">
        <v>75</v>
      </c>
      <c r="H479">
        <v>5</v>
      </c>
      <c r="I479" s="7">
        <v>436.57</v>
      </c>
      <c r="J479" s="8">
        <v>0.05</v>
      </c>
      <c r="K479" s="7">
        <v>223.33</v>
      </c>
      <c r="L479" s="7">
        <f t="shared" si="42"/>
        <v>2182.85</v>
      </c>
      <c r="M479" s="7">
        <f t="shared" si="43"/>
        <v>109.1425</v>
      </c>
      <c r="N479" s="7">
        <f t="shared" si="44"/>
        <v>2073.7075</v>
      </c>
      <c r="O479" s="7">
        <f t="shared" si="45"/>
        <v>1116.6500000000001</v>
      </c>
      <c r="P479" s="7">
        <f t="shared" si="46"/>
        <v>957.05749999999989</v>
      </c>
      <c r="Q479" s="8">
        <f t="shared" si="47"/>
        <v>0.46152000704053003</v>
      </c>
    </row>
    <row r="480" spans="1:17" ht="15" customHeight="1" x14ac:dyDescent="0.3">
      <c r="A480" t="s">
        <v>596</v>
      </c>
      <c r="B480" s="6">
        <v>45539</v>
      </c>
      <c r="C480" t="s">
        <v>93</v>
      </c>
      <c r="D480" t="s">
        <v>117</v>
      </c>
      <c r="E480" t="s">
        <v>118</v>
      </c>
      <c r="F480" t="s">
        <v>90</v>
      </c>
      <c r="G480" t="s">
        <v>106</v>
      </c>
      <c r="H480">
        <v>1</v>
      </c>
      <c r="I480" s="7">
        <v>174.16</v>
      </c>
      <c r="J480" s="8">
        <v>0.05</v>
      </c>
      <c r="K480" s="7">
        <v>102.82</v>
      </c>
      <c r="L480" s="7">
        <f t="shared" si="42"/>
        <v>174.16</v>
      </c>
      <c r="M480" s="7">
        <f t="shared" si="43"/>
        <v>8.7080000000000002</v>
      </c>
      <c r="N480" s="7">
        <f t="shared" si="44"/>
        <v>165.452</v>
      </c>
      <c r="O480" s="7">
        <f t="shared" si="45"/>
        <v>102.82</v>
      </c>
      <c r="P480" s="7">
        <f t="shared" si="46"/>
        <v>62.632000000000005</v>
      </c>
      <c r="Q480" s="8">
        <f t="shared" si="47"/>
        <v>0.37855087880472887</v>
      </c>
    </row>
    <row r="481" spans="1:17" ht="15" customHeight="1" x14ac:dyDescent="0.3">
      <c r="A481" t="s">
        <v>597</v>
      </c>
      <c r="B481" s="6">
        <v>45313</v>
      </c>
      <c r="C481" t="s">
        <v>71</v>
      </c>
      <c r="D481" t="s">
        <v>117</v>
      </c>
      <c r="E481" t="s">
        <v>131</v>
      </c>
      <c r="F481" t="s">
        <v>82</v>
      </c>
      <c r="G481" t="s">
        <v>75</v>
      </c>
      <c r="H481">
        <v>5</v>
      </c>
      <c r="I481" s="7">
        <v>148.18</v>
      </c>
      <c r="J481" s="8">
        <v>0.1</v>
      </c>
      <c r="K481" s="7">
        <v>73.650000000000006</v>
      </c>
      <c r="L481" s="7">
        <f t="shared" si="42"/>
        <v>740.90000000000009</v>
      </c>
      <c r="M481" s="7">
        <f t="shared" si="43"/>
        <v>74.090000000000018</v>
      </c>
      <c r="N481" s="7">
        <f t="shared" si="44"/>
        <v>666.81000000000006</v>
      </c>
      <c r="O481" s="7">
        <f t="shared" si="45"/>
        <v>368.25</v>
      </c>
      <c r="P481" s="7">
        <f t="shared" si="46"/>
        <v>298.56000000000006</v>
      </c>
      <c r="Q481" s="8">
        <f t="shared" si="47"/>
        <v>0.4477437350969542</v>
      </c>
    </row>
    <row r="482" spans="1:17" ht="15" customHeight="1" x14ac:dyDescent="0.3">
      <c r="A482" t="s">
        <v>598</v>
      </c>
      <c r="B482" s="6">
        <v>45344</v>
      </c>
      <c r="C482" t="s">
        <v>77</v>
      </c>
      <c r="D482" t="s">
        <v>108</v>
      </c>
      <c r="E482" t="s">
        <v>200</v>
      </c>
      <c r="F482" t="s">
        <v>90</v>
      </c>
      <c r="G482" t="s">
        <v>87</v>
      </c>
      <c r="H482">
        <v>17</v>
      </c>
      <c r="I482" s="7">
        <v>31.57</v>
      </c>
      <c r="J482" s="8">
        <v>0.1</v>
      </c>
      <c r="K482" s="7">
        <v>19.22</v>
      </c>
      <c r="L482" s="7">
        <f t="shared" si="42"/>
        <v>536.69000000000005</v>
      </c>
      <c r="M482" s="7">
        <f t="shared" si="43"/>
        <v>53.669000000000011</v>
      </c>
      <c r="N482" s="7">
        <f t="shared" si="44"/>
        <v>483.02100000000007</v>
      </c>
      <c r="O482" s="7">
        <f t="shared" si="45"/>
        <v>326.74</v>
      </c>
      <c r="P482" s="7">
        <f t="shared" si="46"/>
        <v>156.28100000000006</v>
      </c>
      <c r="Q482" s="8">
        <f t="shared" si="47"/>
        <v>0.3235490796466407</v>
      </c>
    </row>
    <row r="483" spans="1:17" ht="15" customHeight="1" x14ac:dyDescent="0.3">
      <c r="A483" t="s">
        <v>599</v>
      </c>
      <c r="B483" s="6">
        <v>45484</v>
      </c>
      <c r="C483" t="s">
        <v>93</v>
      </c>
      <c r="D483" t="s">
        <v>85</v>
      </c>
      <c r="E483" t="s">
        <v>173</v>
      </c>
      <c r="F483" t="s">
        <v>90</v>
      </c>
      <c r="G483" t="s">
        <v>106</v>
      </c>
      <c r="H483">
        <v>3</v>
      </c>
      <c r="I483" s="7">
        <v>428.03</v>
      </c>
      <c r="J483" s="8">
        <v>0.2</v>
      </c>
      <c r="K483" s="7">
        <v>241.12</v>
      </c>
      <c r="L483" s="7">
        <f t="shared" si="42"/>
        <v>1284.0899999999999</v>
      </c>
      <c r="M483" s="7">
        <f t="shared" si="43"/>
        <v>256.81799999999998</v>
      </c>
      <c r="N483" s="7">
        <f t="shared" si="44"/>
        <v>1027.2719999999999</v>
      </c>
      <c r="O483" s="7">
        <f t="shared" si="45"/>
        <v>723.36</v>
      </c>
      <c r="P483" s="7">
        <f t="shared" si="46"/>
        <v>303.91199999999992</v>
      </c>
      <c r="Q483" s="8">
        <f t="shared" si="47"/>
        <v>0.29584374926991092</v>
      </c>
    </row>
    <row r="484" spans="1:17" ht="15" customHeight="1" x14ac:dyDescent="0.3">
      <c r="A484" t="s">
        <v>600</v>
      </c>
      <c r="B484" s="6">
        <v>45556</v>
      </c>
      <c r="C484" t="s">
        <v>71</v>
      </c>
      <c r="D484" t="s">
        <v>72</v>
      </c>
      <c r="E484" t="s">
        <v>98</v>
      </c>
      <c r="F484" t="s">
        <v>82</v>
      </c>
      <c r="G484" t="s">
        <v>75</v>
      </c>
      <c r="H484">
        <v>3</v>
      </c>
      <c r="I484" s="7">
        <v>819.74</v>
      </c>
      <c r="J484" s="8">
        <v>0.15</v>
      </c>
      <c r="K484" s="7">
        <v>490.34</v>
      </c>
      <c r="L484" s="7">
        <f t="shared" si="42"/>
        <v>2459.2200000000003</v>
      </c>
      <c r="M484" s="7">
        <f t="shared" si="43"/>
        <v>368.88300000000004</v>
      </c>
      <c r="N484" s="7">
        <f t="shared" si="44"/>
        <v>2090.3370000000004</v>
      </c>
      <c r="O484" s="7">
        <f t="shared" si="45"/>
        <v>1471.02</v>
      </c>
      <c r="P484" s="7">
        <f t="shared" si="46"/>
        <v>619.31700000000046</v>
      </c>
      <c r="Q484" s="8">
        <f t="shared" si="47"/>
        <v>0.29627615068766439</v>
      </c>
    </row>
    <row r="485" spans="1:17" ht="15" customHeight="1" x14ac:dyDescent="0.3">
      <c r="A485" t="s">
        <v>601</v>
      </c>
      <c r="B485" s="6">
        <v>45376</v>
      </c>
      <c r="C485" t="s">
        <v>93</v>
      </c>
      <c r="D485" t="s">
        <v>80</v>
      </c>
      <c r="E485" t="s">
        <v>113</v>
      </c>
      <c r="F485" t="s">
        <v>74</v>
      </c>
      <c r="G485" t="s">
        <v>91</v>
      </c>
      <c r="H485">
        <v>5</v>
      </c>
      <c r="I485" s="7">
        <v>176.8</v>
      </c>
      <c r="J485" s="8">
        <v>0.1</v>
      </c>
      <c r="K485" s="7">
        <v>80.069999999999993</v>
      </c>
      <c r="L485" s="7">
        <f t="shared" si="42"/>
        <v>884</v>
      </c>
      <c r="M485" s="7">
        <f t="shared" si="43"/>
        <v>88.4</v>
      </c>
      <c r="N485" s="7">
        <f t="shared" si="44"/>
        <v>795.6</v>
      </c>
      <c r="O485" s="7">
        <f t="shared" si="45"/>
        <v>400.34999999999997</v>
      </c>
      <c r="P485" s="7">
        <f t="shared" si="46"/>
        <v>395.25000000000006</v>
      </c>
      <c r="Q485" s="8">
        <f t="shared" si="47"/>
        <v>0.49679487179487186</v>
      </c>
    </row>
    <row r="486" spans="1:17" ht="15" customHeight="1" x14ac:dyDescent="0.3">
      <c r="A486" t="s">
        <v>602</v>
      </c>
      <c r="B486" s="6">
        <v>45630</v>
      </c>
      <c r="C486" t="s">
        <v>71</v>
      </c>
      <c r="D486" t="s">
        <v>117</v>
      </c>
      <c r="E486" t="s">
        <v>133</v>
      </c>
      <c r="F486" t="s">
        <v>90</v>
      </c>
      <c r="G486" t="s">
        <v>94</v>
      </c>
      <c r="H486">
        <v>3</v>
      </c>
      <c r="I486" s="7">
        <v>106.11</v>
      </c>
      <c r="J486" s="8">
        <v>0</v>
      </c>
      <c r="K486" s="7">
        <v>55.22</v>
      </c>
      <c r="L486" s="7">
        <f t="shared" si="42"/>
        <v>318.33</v>
      </c>
      <c r="M486" s="7">
        <f t="shared" si="43"/>
        <v>0</v>
      </c>
      <c r="N486" s="7">
        <f t="shared" si="44"/>
        <v>318.33</v>
      </c>
      <c r="O486" s="7">
        <f t="shared" si="45"/>
        <v>165.66</v>
      </c>
      <c r="P486" s="7">
        <f t="shared" si="46"/>
        <v>152.66999999999999</v>
      </c>
      <c r="Q486" s="8">
        <f t="shared" si="47"/>
        <v>0.47959664499104704</v>
      </c>
    </row>
    <row r="487" spans="1:17" ht="15" customHeight="1" x14ac:dyDescent="0.3">
      <c r="A487" t="s">
        <v>603</v>
      </c>
      <c r="B487" s="6">
        <v>45623</v>
      </c>
      <c r="C487" t="s">
        <v>79</v>
      </c>
      <c r="D487" t="s">
        <v>108</v>
      </c>
      <c r="E487" t="s">
        <v>162</v>
      </c>
      <c r="F487" t="s">
        <v>90</v>
      </c>
      <c r="G487" t="s">
        <v>106</v>
      </c>
      <c r="H487">
        <v>1</v>
      </c>
      <c r="I487" s="7">
        <v>34.17</v>
      </c>
      <c r="J487" s="8">
        <v>0.05</v>
      </c>
      <c r="K487" s="7">
        <v>14.04</v>
      </c>
      <c r="L487" s="7">
        <f t="shared" si="42"/>
        <v>34.17</v>
      </c>
      <c r="M487" s="7">
        <f t="shared" si="43"/>
        <v>1.7085000000000001</v>
      </c>
      <c r="N487" s="7">
        <f t="shared" si="44"/>
        <v>32.461500000000001</v>
      </c>
      <c r="O487" s="7">
        <f t="shared" si="45"/>
        <v>14.04</v>
      </c>
      <c r="P487" s="7">
        <f t="shared" si="46"/>
        <v>18.421500000000002</v>
      </c>
      <c r="Q487" s="8">
        <f t="shared" si="47"/>
        <v>0.56748763920336398</v>
      </c>
    </row>
    <row r="488" spans="1:17" ht="15" customHeight="1" x14ac:dyDescent="0.3">
      <c r="A488" t="s">
        <v>604</v>
      </c>
      <c r="B488" s="6">
        <v>45312</v>
      </c>
      <c r="C488" t="s">
        <v>79</v>
      </c>
      <c r="D488" t="s">
        <v>80</v>
      </c>
      <c r="E488" t="s">
        <v>138</v>
      </c>
      <c r="F488" t="s">
        <v>74</v>
      </c>
      <c r="G488" t="s">
        <v>114</v>
      </c>
      <c r="H488">
        <v>2</v>
      </c>
      <c r="I488" s="7">
        <v>282.52999999999997</v>
      </c>
      <c r="J488" s="8">
        <v>0</v>
      </c>
      <c r="K488" s="7">
        <v>124.76</v>
      </c>
      <c r="L488" s="7">
        <f t="shared" si="42"/>
        <v>565.05999999999995</v>
      </c>
      <c r="M488" s="7">
        <f t="shared" si="43"/>
        <v>0</v>
      </c>
      <c r="N488" s="7">
        <f t="shared" si="44"/>
        <v>565.05999999999995</v>
      </c>
      <c r="O488" s="7">
        <f t="shared" si="45"/>
        <v>249.52</v>
      </c>
      <c r="P488" s="7">
        <f t="shared" si="46"/>
        <v>315.53999999999996</v>
      </c>
      <c r="Q488" s="8">
        <f t="shared" si="47"/>
        <v>0.55841857501858205</v>
      </c>
    </row>
    <row r="489" spans="1:17" ht="15" customHeight="1" x14ac:dyDescent="0.3">
      <c r="A489" t="s">
        <v>605</v>
      </c>
      <c r="B489" s="6">
        <v>45618</v>
      </c>
      <c r="C489" t="s">
        <v>102</v>
      </c>
      <c r="D489" t="s">
        <v>117</v>
      </c>
      <c r="E489" t="s">
        <v>118</v>
      </c>
      <c r="F489" t="s">
        <v>90</v>
      </c>
      <c r="G489" t="s">
        <v>83</v>
      </c>
      <c r="H489">
        <v>3</v>
      </c>
      <c r="I489" s="7">
        <v>85.79</v>
      </c>
      <c r="J489" s="8">
        <v>0</v>
      </c>
      <c r="K489" s="7">
        <v>38.96</v>
      </c>
      <c r="L489" s="7">
        <f t="shared" si="42"/>
        <v>257.37</v>
      </c>
      <c r="M489" s="7">
        <f t="shared" si="43"/>
        <v>0</v>
      </c>
      <c r="N489" s="7">
        <f t="shared" si="44"/>
        <v>257.37</v>
      </c>
      <c r="O489" s="7">
        <f t="shared" si="45"/>
        <v>116.88</v>
      </c>
      <c r="P489" s="7">
        <f t="shared" si="46"/>
        <v>140.49</v>
      </c>
      <c r="Q489" s="8">
        <f t="shared" si="47"/>
        <v>0.54586781676186036</v>
      </c>
    </row>
    <row r="490" spans="1:17" ht="15" customHeight="1" x14ac:dyDescent="0.3">
      <c r="A490" t="s">
        <v>606</v>
      </c>
      <c r="B490" s="6">
        <v>45502</v>
      </c>
      <c r="C490" t="s">
        <v>102</v>
      </c>
      <c r="D490" t="s">
        <v>80</v>
      </c>
      <c r="E490" t="s">
        <v>81</v>
      </c>
      <c r="F490" t="s">
        <v>74</v>
      </c>
      <c r="G490" t="s">
        <v>75</v>
      </c>
      <c r="H490">
        <v>5</v>
      </c>
      <c r="I490" s="7">
        <v>236.13</v>
      </c>
      <c r="J490" s="8">
        <v>0.05</v>
      </c>
      <c r="K490" s="7">
        <v>131.24</v>
      </c>
      <c r="L490" s="7">
        <f t="shared" si="42"/>
        <v>1180.6500000000001</v>
      </c>
      <c r="M490" s="7">
        <f t="shared" si="43"/>
        <v>59.032500000000006</v>
      </c>
      <c r="N490" s="7">
        <f t="shared" si="44"/>
        <v>1121.6175000000001</v>
      </c>
      <c r="O490" s="7">
        <f t="shared" si="45"/>
        <v>656.2</v>
      </c>
      <c r="P490" s="7">
        <f t="shared" si="46"/>
        <v>465.41750000000002</v>
      </c>
      <c r="Q490" s="8">
        <f t="shared" si="47"/>
        <v>0.41495206699253534</v>
      </c>
    </row>
    <row r="491" spans="1:17" ht="15" customHeight="1" x14ac:dyDescent="0.3">
      <c r="A491" t="s">
        <v>607</v>
      </c>
      <c r="B491" s="6">
        <v>45524</v>
      </c>
      <c r="C491" t="s">
        <v>79</v>
      </c>
      <c r="D491" t="s">
        <v>80</v>
      </c>
      <c r="E491" t="s">
        <v>89</v>
      </c>
      <c r="F491" t="s">
        <v>90</v>
      </c>
      <c r="G491" t="s">
        <v>87</v>
      </c>
      <c r="H491">
        <v>1</v>
      </c>
      <c r="I491" s="7">
        <v>235.45</v>
      </c>
      <c r="J491" s="8">
        <v>0.05</v>
      </c>
      <c r="K491" s="7">
        <v>116.44</v>
      </c>
      <c r="L491" s="7">
        <f t="shared" si="42"/>
        <v>235.45</v>
      </c>
      <c r="M491" s="7">
        <f t="shared" si="43"/>
        <v>11.772500000000001</v>
      </c>
      <c r="N491" s="7">
        <f t="shared" si="44"/>
        <v>223.67749999999998</v>
      </c>
      <c r="O491" s="7">
        <f t="shared" si="45"/>
        <v>116.44</v>
      </c>
      <c r="P491" s="7">
        <f t="shared" si="46"/>
        <v>107.23749999999998</v>
      </c>
      <c r="Q491" s="8">
        <f t="shared" si="47"/>
        <v>0.47942908875501555</v>
      </c>
    </row>
    <row r="492" spans="1:17" ht="15" customHeight="1" x14ac:dyDescent="0.3">
      <c r="A492" t="s">
        <v>608</v>
      </c>
      <c r="B492" s="6">
        <v>45550</v>
      </c>
      <c r="C492" t="s">
        <v>77</v>
      </c>
      <c r="D492" t="s">
        <v>117</v>
      </c>
      <c r="E492" t="s">
        <v>131</v>
      </c>
      <c r="F492" t="s">
        <v>74</v>
      </c>
      <c r="G492" t="s">
        <v>114</v>
      </c>
      <c r="H492">
        <v>2</v>
      </c>
      <c r="I492" s="7">
        <v>149.69999999999999</v>
      </c>
      <c r="J492" s="8">
        <v>0.2</v>
      </c>
      <c r="K492" s="7">
        <v>63.48</v>
      </c>
      <c r="L492" s="7">
        <f t="shared" si="42"/>
        <v>299.39999999999998</v>
      </c>
      <c r="M492" s="7">
        <f t="shared" si="43"/>
        <v>59.879999999999995</v>
      </c>
      <c r="N492" s="7">
        <f t="shared" si="44"/>
        <v>239.51999999999998</v>
      </c>
      <c r="O492" s="7">
        <f t="shared" si="45"/>
        <v>126.96</v>
      </c>
      <c r="P492" s="7">
        <f t="shared" si="46"/>
        <v>112.55999999999999</v>
      </c>
      <c r="Q492" s="8">
        <f t="shared" si="47"/>
        <v>0.46993987975951901</v>
      </c>
    </row>
    <row r="493" spans="1:17" ht="15" customHeight="1" x14ac:dyDescent="0.3">
      <c r="A493" t="s">
        <v>609</v>
      </c>
      <c r="B493" s="6">
        <v>45549</v>
      </c>
      <c r="C493" t="s">
        <v>93</v>
      </c>
      <c r="D493" t="s">
        <v>108</v>
      </c>
      <c r="E493" t="s">
        <v>109</v>
      </c>
      <c r="F493" t="s">
        <v>74</v>
      </c>
      <c r="G493" t="s">
        <v>114</v>
      </c>
      <c r="H493">
        <v>3</v>
      </c>
      <c r="I493" s="7">
        <v>32.549999999999997</v>
      </c>
      <c r="J493" s="8">
        <v>0.15</v>
      </c>
      <c r="K493" s="7">
        <v>18.39</v>
      </c>
      <c r="L493" s="7">
        <f t="shared" si="42"/>
        <v>97.649999999999991</v>
      </c>
      <c r="M493" s="7">
        <f t="shared" si="43"/>
        <v>14.647499999999997</v>
      </c>
      <c r="N493" s="7">
        <f t="shared" si="44"/>
        <v>83.002499999999998</v>
      </c>
      <c r="O493" s="7">
        <f t="shared" si="45"/>
        <v>55.17</v>
      </c>
      <c r="P493" s="7">
        <f t="shared" si="46"/>
        <v>27.832499999999996</v>
      </c>
      <c r="Q493" s="8">
        <f t="shared" si="47"/>
        <v>0.33532122526429925</v>
      </c>
    </row>
    <row r="494" spans="1:17" ht="15" customHeight="1" x14ac:dyDescent="0.3">
      <c r="A494" t="s">
        <v>610</v>
      </c>
      <c r="B494" s="6">
        <v>45559</v>
      </c>
      <c r="C494" t="s">
        <v>77</v>
      </c>
      <c r="D494" t="s">
        <v>80</v>
      </c>
      <c r="E494" t="s">
        <v>138</v>
      </c>
      <c r="F494" t="s">
        <v>90</v>
      </c>
      <c r="G494" t="s">
        <v>135</v>
      </c>
      <c r="H494">
        <v>1</v>
      </c>
      <c r="I494" s="7">
        <v>207.31</v>
      </c>
      <c r="J494" s="8">
        <v>0.2</v>
      </c>
      <c r="K494" s="7">
        <v>105.16</v>
      </c>
      <c r="L494" s="7">
        <f t="shared" si="42"/>
        <v>207.31</v>
      </c>
      <c r="M494" s="7">
        <f t="shared" si="43"/>
        <v>41.462000000000003</v>
      </c>
      <c r="N494" s="7">
        <f t="shared" si="44"/>
        <v>165.84800000000001</v>
      </c>
      <c r="O494" s="7">
        <f t="shared" si="45"/>
        <v>105.16</v>
      </c>
      <c r="P494" s="7">
        <f t="shared" si="46"/>
        <v>60.688000000000017</v>
      </c>
      <c r="Q494" s="8">
        <f t="shared" si="47"/>
        <v>0.36592542569099423</v>
      </c>
    </row>
    <row r="495" spans="1:17" ht="15" customHeight="1" x14ac:dyDescent="0.3">
      <c r="A495" t="s">
        <v>611</v>
      </c>
      <c r="B495" s="6">
        <v>45342</v>
      </c>
      <c r="C495" t="s">
        <v>71</v>
      </c>
      <c r="D495" t="s">
        <v>108</v>
      </c>
      <c r="E495" t="s">
        <v>162</v>
      </c>
      <c r="F495" t="s">
        <v>90</v>
      </c>
      <c r="G495" t="s">
        <v>83</v>
      </c>
      <c r="H495">
        <v>9</v>
      </c>
      <c r="I495" s="7">
        <v>26.01</v>
      </c>
      <c r="J495" s="8">
        <v>0.15</v>
      </c>
      <c r="K495" s="7">
        <v>15.38</v>
      </c>
      <c r="L495" s="7">
        <f t="shared" si="42"/>
        <v>234.09</v>
      </c>
      <c r="M495" s="7">
        <f t="shared" si="43"/>
        <v>35.113500000000002</v>
      </c>
      <c r="N495" s="7">
        <f t="shared" si="44"/>
        <v>198.97649999999999</v>
      </c>
      <c r="O495" s="7">
        <f t="shared" si="45"/>
        <v>138.42000000000002</v>
      </c>
      <c r="P495" s="7">
        <f t="shared" si="46"/>
        <v>60.556499999999971</v>
      </c>
      <c r="Q495" s="8">
        <f t="shared" si="47"/>
        <v>0.30433995974398975</v>
      </c>
    </row>
    <row r="496" spans="1:17" ht="15" customHeight="1" x14ac:dyDescent="0.3">
      <c r="A496" t="s">
        <v>612</v>
      </c>
      <c r="B496" s="6">
        <v>45423</v>
      </c>
      <c r="C496" t="s">
        <v>93</v>
      </c>
      <c r="D496" t="s">
        <v>72</v>
      </c>
      <c r="E496" t="s">
        <v>123</v>
      </c>
      <c r="F496" t="s">
        <v>90</v>
      </c>
      <c r="G496" t="s">
        <v>135</v>
      </c>
      <c r="H496">
        <v>1</v>
      </c>
      <c r="I496" s="7">
        <v>680.97</v>
      </c>
      <c r="J496" s="8">
        <v>0.2</v>
      </c>
      <c r="K496" s="7">
        <v>361.35</v>
      </c>
      <c r="L496" s="7">
        <f t="shared" si="42"/>
        <v>680.97</v>
      </c>
      <c r="M496" s="7">
        <f t="shared" si="43"/>
        <v>136.19400000000002</v>
      </c>
      <c r="N496" s="7">
        <f t="shared" si="44"/>
        <v>544.77600000000007</v>
      </c>
      <c r="O496" s="7">
        <f t="shared" si="45"/>
        <v>361.35</v>
      </c>
      <c r="P496" s="7">
        <f t="shared" si="46"/>
        <v>183.42600000000004</v>
      </c>
      <c r="Q496" s="8">
        <f t="shared" si="47"/>
        <v>0.33669985461914625</v>
      </c>
    </row>
    <row r="497" spans="1:17" ht="15" customHeight="1" x14ac:dyDescent="0.3">
      <c r="A497" t="s">
        <v>613</v>
      </c>
      <c r="B497" s="6">
        <v>45644</v>
      </c>
      <c r="C497" t="s">
        <v>102</v>
      </c>
      <c r="D497" t="s">
        <v>80</v>
      </c>
      <c r="E497" t="s">
        <v>113</v>
      </c>
      <c r="F497" t="s">
        <v>90</v>
      </c>
      <c r="G497" t="s">
        <v>75</v>
      </c>
      <c r="H497">
        <v>4</v>
      </c>
      <c r="I497" s="7">
        <v>268.69</v>
      </c>
      <c r="J497" s="8">
        <v>0.1</v>
      </c>
      <c r="K497" s="7">
        <v>114.64</v>
      </c>
      <c r="L497" s="7">
        <f t="shared" si="42"/>
        <v>1074.76</v>
      </c>
      <c r="M497" s="7">
        <f t="shared" si="43"/>
        <v>107.476</v>
      </c>
      <c r="N497" s="7">
        <f t="shared" si="44"/>
        <v>967.28399999999999</v>
      </c>
      <c r="O497" s="7">
        <f t="shared" si="45"/>
        <v>458.56</v>
      </c>
      <c r="P497" s="7">
        <f t="shared" si="46"/>
        <v>508.72399999999999</v>
      </c>
      <c r="Q497" s="8">
        <f t="shared" si="47"/>
        <v>0.52593033690208868</v>
      </c>
    </row>
    <row r="498" spans="1:17" ht="15" customHeight="1" x14ac:dyDescent="0.3">
      <c r="A498" t="s">
        <v>614</v>
      </c>
      <c r="B498" s="6">
        <v>45508</v>
      </c>
      <c r="C498" t="s">
        <v>71</v>
      </c>
      <c r="D498" t="s">
        <v>108</v>
      </c>
      <c r="E498" t="s">
        <v>109</v>
      </c>
      <c r="F498" t="s">
        <v>82</v>
      </c>
      <c r="G498" t="s">
        <v>114</v>
      </c>
      <c r="H498">
        <v>20</v>
      </c>
      <c r="I498" s="7">
        <v>28.79</v>
      </c>
      <c r="J498" s="8">
        <v>0.1</v>
      </c>
      <c r="K498" s="7">
        <v>18.649999999999999</v>
      </c>
      <c r="L498" s="7">
        <f t="shared" si="42"/>
        <v>575.79999999999995</v>
      </c>
      <c r="M498" s="7">
        <f t="shared" si="43"/>
        <v>57.58</v>
      </c>
      <c r="N498" s="7">
        <f t="shared" si="44"/>
        <v>518.21999999999991</v>
      </c>
      <c r="O498" s="7">
        <f t="shared" si="45"/>
        <v>373</v>
      </c>
      <c r="P498" s="7">
        <f t="shared" si="46"/>
        <v>145.21999999999991</v>
      </c>
      <c r="Q498" s="8">
        <f t="shared" si="47"/>
        <v>0.28022847439311477</v>
      </c>
    </row>
    <row r="499" spans="1:17" ht="15" customHeight="1" x14ac:dyDescent="0.3">
      <c r="A499" t="s">
        <v>615</v>
      </c>
      <c r="B499" s="6">
        <v>45539</v>
      </c>
      <c r="C499" t="s">
        <v>102</v>
      </c>
      <c r="D499" t="s">
        <v>108</v>
      </c>
      <c r="E499" t="s">
        <v>177</v>
      </c>
      <c r="F499" t="s">
        <v>90</v>
      </c>
      <c r="G499" t="s">
        <v>114</v>
      </c>
      <c r="H499">
        <v>18</v>
      </c>
      <c r="I499" s="7">
        <v>21.07</v>
      </c>
      <c r="J499" s="8">
        <v>0.2</v>
      </c>
      <c r="K499" s="7">
        <v>10.98</v>
      </c>
      <c r="L499" s="7">
        <f t="shared" si="42"/>
        <v>379.26</v>
      </c>
      <c r="M499" s="7">
        <f t="shared" si="43"/>
        <v>75.852000000000004</v>
      </c>
      <c r="N499" s="7">
        <f t="shared" si="44"/>
        <v>303.40800000000002</v>
      </c>
      <c r="O499" s="7">
        <f t="shared" si="45"/>
        <v>197.64000000000001</v>
      </c>
      <c r="P499" s="7">
        <f t="shared" si="46"/>
        <v>105.768</v>
      </c>
      <c r="Q499" s="8">
        <f t="shared" si="47"/>
        <v>0.3485999050783104</v>
      </c>
    </row>
    <row r="500" spans="1:17" ht="15" customHeight="1" x14ac:dyDescent="0.3">
      <c r="A500" t="s">
        <v>616</v>
      </c>
      <c r="B500" s="6">
        <v>45362</v>
      </c>
      <c r="C500" t="s">
        <v>71</v>
      </c>
      <c r="D500" t="s">
        <v>85</v>
      </c>
      <c r="E500" t="s">
        <v>173</v>
      </c>
      <c r="F500" t="s">
        <v>90</v>
      </c>
      <c r="G500" t="s">
        <v>135</v>
      </c>
      <c r="H500">
        <v>1</v>
      </c>
      <c r="I500" s="7">
        <v>484.4</v>
      </c>
      <c r="J500" s="8">
        <v>0.05</v>
      </c>
      <c r="K500" s="7">
        <v>247.84</v>
      </c>
      <c r="L500" s="7">
        <f t="shared" si="42"/>
        <v>484.4</v>
      </c>
      <c r="M500" s="7">
        <f t="shared" si="43"/>
        <v>24.22</v>
      </c>
      <c r="N500" s="7">
        <f t="shared" si="44"/>
        <v>460.17999999999995</v>
      </c>
      <c r="O500" s="7">
        <f t="shared" si="45"/>
        <v>247.84</v>
      </c>
      <c r="P500" s="7">
        <f t="shared" si="46"/>
        <v>212.33999999999995</v>
      </c>
      <c r="Q500" s="8">
        <f t="shared" si="47"/>
        <v>0.46142813681602846</v>
      </c>
    </row>
    <row r="501" spans="1:17" ht="15" customHeight="1" x14ac:dyDescent="0.3">
      <c r="A501" t="s">
        <v>617</v>
      </c>
      <c r="B501" s="6">
        <v>45465</v>
      </c>
      <c r="C501" t="s">
        <v>79</v>
      </c>
      <c r="D501" t="s">
        <v>117</v>
      </c>
      <c r="E501" t="s">
        <v>131</v>
      </c>
      <c r="F501" t="s">
        <v>90</v>
      </c>
      <c r="G501" t="s">
        <v>135</v>
      </c>
      <c r="H501">
        <v>5</v>
      </c>
      <c r="I501" s="7">
        <v>160.88</v>
      </c>
      <c r="J501" s="8">
        <v>0</v>
      </c>
      <c r="K501" s="7">
        <v>70.819999999999993</v>
      </c>
      <c r="L501" s="7">
        <f t="shared" si="42"/>
        <v>804.4</v>
      </c>
      <c r="M501" s="7">
        <f t="shared" si="43"/>
        <v>0</v>
      </c>
      <c r="N501" s="7">
        <f t="shared" si="44"/>
        <v>804.4</v>
      </c>
      <c r="O501" s="7">
        <f t="shared" si="45"/>
        <v>354.09999999999997</v>
      </c>
      <c r="P501" s="7">
        <f t="shared" si="46"/>
        <v>450.3</v>
      </c>
      <c r="Q501" s="8">
        <f t="shared" si="47"/>
        <v>0.55979612133267032</v>
      </c>
    </row>
  </sheetData>
  <dataValidations count="3">
    <dataValidation type="list" errorTitle="Región inválida" error="Seleccione una región válida" sqref="C2:C501" xr:uid="{00000000-0002-0000-0100-000000000000}">
      <formula1>"Norte,Sur,Centro,Este,Oeste"</formula1>
      <formula2>0</formula2>
    </dataValidation>
    <dataValidation type="list" sqref="D2:D501" xr:uid="{00000000-0002-0000-0100-000001000000}">
      <formula1>"Electrónica,Ropa,Hogar,Alimentos,Deportes"</formula1>
      <formula2>0</formula2>
    </dataValidation>
    <dataValidation type="list" sqref="F2:F501" xr:uid="{00000000-0002-0000-0100-000002000000}">
      <formula1>"Tienda Física,E-commerce,Marketplace"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"/>
  <sheetViews>
    <sheetView zoomScaleNormal="100" workbookViewId="0">
      <selection activeCell="D28" sqref="D28"/>
    </sheetView>
  </sheetViews>
  <sheetFormatPr defaultColWidth="8.6640625" defaultRowHeight="14.4" x14ac:dyDescent="0.3"/>
  <cols>
    <col min="1" max="7" width="18" customWidth="1"/>
  </cols>
  <sheetData>
    <row r="1" spans="1:7" ht="17.25" customHeight="1" x14ac:dyDescent="0.3">
      <c r="A1" s="2" t="s">
        <v>618</v>
      </c>
      <c r="B1" s="2"/>
      <c r="C1" s="2"/>
      <c r="D1" s="2"/>
      <c r="E1" s="2"/>
      <c r="F1" s="2"/>
      <c r="G1" s="2"/>
    </row>
    <row r="3" spans="1:7" ht="15" customHeight="1" x14ac:dyDescent="0.3">
      <c r="A3" s="9" t="s">
        <v>619</v>
      </c>
    </row>
    <row r="4" spans="1:7" ht="15" customHeight="1" x14ac:dyDescent="0.3">
      <c r="A4" s="5" t="s">
        <v>620</v>
      </c>
      <c r="B4" s="5" t="s">
        <v>621</v>
      </c>
      <c r="C4" s="5" t="s">
        <v>622</v>
      </c>
      <c r="D4" s="5" t="s">
        <v>623</v>
      </c>
      <c r="E4" s="5" t="s">
        <v>624</v>
      </c>
      <c r="F4" s="5" t="s">
        <v>625</v>
      </c>
      <c r="G4" s="5" t="s">
        <v>626</v>
      </c>
    </row>
    <row r="5" spans="1:7" ht="15" customHeight="1" x14ac:dyDescent="0.3">
      <c r="A5" s="10" t="s">
        <v>77</v>
      </c>
      <c r="B5" s="11">
        <f>SUMIFS(Datos!$N:$N,Datos!$C:$C,A5)</f>
        <v>100578.20600000001</v>
      </c>
      <c r="C5" s="12">
        <f>COUNTIF(Datos!$C:$C,A5)</f>
        <v>95</v>
      </c>
      <c r="D5" s="11">
        <f t="shared" ref="D5:D10" si="0">IF(C5=0,0,B5/C5)</f>
        <v>1058.7179578947369</v>
      </c>
      <c r="E5" s="11">
        <f>SUMIFS(Datos!$P:$P,Datos!$C:$C,A5)</f>
        <v>42868.976000000002</v>
      </c>
      <c r="F5" s="13">
        <f t="shared" ref="F5:F10" si="1">IF(B5=0,0,E5/B5)</f>
        <v>0.42622529974336587</v>
      </c>
      <c r="G5" s="10">
        <f>RANK(B5,$B$5:$B$9,0)</f>
        <v>3</v>
      </c>
    </row>
    <row r="6" spans="1:7" ht="15" customHeight="1" x14ac:dyDescent="0.3">
      <c r="A6" s="10" t="s">
        <v>79</v>
      </c>
      <c r="B6" s="11">
        <f>SUMIFS(Datos!$N:$N,Datos!$C:$C,A6)</f>
        <v>97422.203499999989</v>
      </c>
      <c r="C6" s="12">
        <f>COUNTIF(Datos!$C:$C,A6)</f>
        <v>97</v>
      </c>
      <c r="D6" s="11">
        <f t="shared" si="0"/>
        <v>1004.3526134020617</v>
      </c>
      <c r="E6" s="11">
        <f>SUMIFS(Datos!$P:$P,Datos!$C:$C,A6)</f>
        <v>41177.833500000015</v>
      </c>
      <c r="F6" s="13">
        <f t="shared" si="1"/>
        <v>0.42267401085831546</v>
      </c>
      <c r="G6" s="10">
        <f>RANK(B6,$B$5:$B$9,0)</f>
        <v>4</v>
      </c>
    </row>
    <row r="7" spans="1:7" ht="15" customHeight="1" x14ac:dyDescent="0.3">
      <c r="A7" s="10" t="s">
        <v>71</v>
      </c>
      <c r="B7" s="11">
        <f>SUMIFS(Datos!$N:$N,Datos!$C:$C,A7)</f>
        <v>117794.12500000003</v>
      </c>
      <c r="C7" s="12">
        <f>COUNTIF(Datos!$C:$C,A7)</f>
        <v>97</v>
      </c>
      <c r="D7" s="11">
        <f t="shared" si="0"/>
        <v>1214.3724226804127</v>
      </c>
      <c r="E7" s="11">
        <f>SUMIFS(Datos!$P:$P,Datos!$C:$C,A7)</f>
        <v>50996.024999999994</v>
      </c>
      <c r="F7" s="13">
        <f t="shared" si="1"/>
        <v>0.43292502915574083</v>
      </c>
      <c r="G7" s="10">
        <f>RANK(B7,$B$5:$B$9,0)</f>
        <v>1</v>
      </c>
    </row>
    <row r="8" spans="1:7" ht="15" customHeight="1" x14ac:dyDescent="0.3">
      <c r="A8" s="10" t="s">
        <v>102</v>
      </c>
      <c r="B8" s="11">
        <f>SUMIFS(Datos!$N:$N,Datos!$C:$C,A8)</f>
        <v>96230.390499999921</v>
      </c>
      <c r="C8" s="12">
        <f>COUNTIF(Datos!$C:$C,A8)</f>
        <v>99</v>
      </c>
      <c r="D8" s="11">
        <f t="shared" si="0"/>
        <v>972.0241464646457</v>
      </c>
      <c r="E8" s="11">
        <f>SUMIFS(Datos!$P:$P,Datos!$C:$C,A8)</f>
        <v>40433.710499999994</v>
      </c>
      <c r="F8" s="13">
        <f t="shared" si="1"/>
        <v>0.4201761033069904</v>
      </c>
      <c r="G8" s="10">
        <f>RANK(B8,$B$5:$B$9,0)</f>
        <v>5</v>
      </c>
    </row>
    <row r="9" spans="1:7" ht="15" customHeight="1" x14ac:dyDescent="0.3">
      <c r="A9" s="10" t="s">
        <v>93</v>
      </c>
      <c r="B9" s="11">
        <f>SUMIFS(Datos!$N:$N,Datos!$C:$C,A9)</f>
        <v>101771.98749999996</v>
      </c>
      <c r="C9" s="12">
        <f>COUNTIF(Datos!$C:$C,A9)</f>
        <v>112</v>
      </c>
      <c r="D9" s="11">
        <f t="shared" si="0"/>
        <v>908.67845982142819</v>
      </c>
      <c r="E9" s="11">
        <f>SUMIFS(Datos!$P:$P,Datos!$C:$C,A9)</f>
        <v>42602.597499999989</v>
      </c>
      <c r="F9" s="13">
        <f t="shared" si="1"/>
        <v>0.41860828845462023</v>
      </c>
      <c r="G9" s="10">
        <f>RANK(B9,$B$5:$B$9,0)</f>
        <v>2</v>
      </c>
    </row>
    <row r="10" spans="1:7" ht="15" customHeight="1" x14ac:dyDescent="0.3">
      <c r="A10" s="14" t="s">
        <v>627</v>
      </c>
      <c r="B10" s="15">
        <f>SUM(B5:B9)</f>
        <v>513796.91249999998</v>
      </c>
      <c r="C10" s="16">
        <f>SUM(C5:C9)</f>
        <v>500</v>
      </c>
      <c r="D10" s="15">
        <f t="shared" si="0"/>
        <v>1027.5938249999999</v>
      </c>
      <c r="E10" s="15">
        <f>SUM(E5:E9)</f>
        <v>218079.14249999996</v>
      </c>
      <c r="F10" s="17">
        <f t="shared" si="1"/>
        <v>0.42444619108138365</v>
      </c>
      <c r="G10" s="18"/>
    </row>
    <row r="13" spans="1:7" ht="15" customHeight="1" x14ac:dyDescent="0.3">
      <c r="A13" s="9" t="s">
        <v>628</v>
      </c>
    </row>
    <row r="14" spans="1:7" ht="15" customHeight="1" x14ac:dyDescent="0.3">
      <c r="A14" s="5" t="s">
        <v>629</v>
      </c>
      <c r="B14" s="5" t="s">
        <v>621</v>
      </c>
      <c r="C14" s="5" t="s">
        <v>630</v>
      </c>
      <c r="D14" s="5" t="s">
        <v>631</v>
      </c>
      <c r="E14" s="5" t="s">
        <v>624</v>
      </c>
      <c r="F14" s="5" t="s">
        <v>625</v>
      </c>
      <c r="G14" s="5" t="s">
        <v>632</v>
      </c>
    </row>
    <row r="15" spans="1:7" ht="15" customHeight="1" x14ac:dyDescent="0.3">
      <c r="A15" s="10" t="s">
        <v>72</v>
      </c>
      <c r="B15" s="11">
        <f>SUMIFS(Datos!$N:$N,Datos!$D:$D,A15)</f>
        <v>275932.21150000003</v>
      </c>
      <c r="C15" s="12">
        <f>SUMIFS(Datos!$H:$H,Datos!$D:$D,A15)</f>
        <v>338</v>
      </c>
      <c r="D15" s="11">
        <f>AVERAGEIFS(Datos!$I:$I,Datos!$D:$D,A15)</f>
        <v>893.17875000000072</v>
      </c>
      <c r="E15" s="11">
        <f>SUMIFS(Datos!$P:$P,Datos!$D:$D,A15)</f>
        <v>118704.98150000004</v>
      </c>
      <c r="F15" s="13">
        <f>IF(B15=0,0,E15/B15)</f>
        <v>0.43019617338151916</v>
      </c>
      <c r="G15" s="10" t="str">
        <f>IF(F15&gt;0.4,"Alto",IF(F15&gt;0.3,"Medio","Bajo"))</f>
        <v>Alto</v>
      </c>
    </row>
    <row r="16" spans="1:7" ht="15" customHeight="1" x14ac:dyDescent="0.3">
      <c r="A16" s="10" t="s">
        <v>117</v>
      </c>
      <c r="B16" s="11">
        <f>SUMIFS(Datos!$N:$N,Datos!$D:$D,A16)</f>
        <v>40405.117999999988</v>
      </c>
      <c r="C16" s="12">
        <f>SUMIFS(Datos!$H:$H,Datos!$D:$D,A16)</f>
        <v>331</v>
      </c>
      <c r="D16" s="11">
        <f>AVERAGEIFS(Datos!$I:$I,Datos!$D:$D,A16)</f>
        <v>135.51775700934584</v>
      </c>
      <c r="E16" s="11">
        <f>SUMIFS(Datos!$P:$P,Datos!$D:$D,A16)</f>
        <v>17473.478000000003</v>
      </c>
      <c r="F16" s="13">
        <f>IF(B16=0,0,E16/B16)</f>
        <v>0.43245704665433743</v>
      </c>
      <c r="G16" s="10" t="str">
        <f>IF(F16&gt;0.4,"Alto",IF(F16&gt;0.3,"Medio","Bajo"))</f>
        <v>Alto</v>
      </c>
    </row>
    <row r="17" spans="1:7" ht="15" customHeight="1" x14ac:dyDescent="0.3">
      <c r="A17" s="10" t="s">
        <v>85</v>
      </c>
      <c r="B17" s="11">
        <f>SUMIFS(Datos!$N:$N,Datos!$D:$D,A17)</f>
        <v>112673.2375</v>
      </c>
      <c r="C17" s="12">
        <f>SUMIFS(Datos!$H:$H,Datos!$D:$D,A17)</f>
        <v>316</v>
      </c>
      <c r="D17" s="11">
        <f>AVERAGEIFS(Datos!$I:$I,Datos!$D:$D,A17)</f>
        <v>395.34640776699024</v>
      </c>
      <c r="E17" s="11">
        <f>SUMIFS(Datos!$P:$P,Datos!$D:$D,A17)</f>
        <v>46808.88749999999</v>
      </c>
      <c r="F17" s="13">
        <f>IF(B17=0,0,E17/B17)</f>
        <v>0.41543926968460448</v>
      </c>
      <c r="G17" s="10" t="str">
        <f>IF(F17&gt;0.4,"Alto",IF(F17&gt;0.3,"Medio","Bajo"))</f>
        <v>Alto</v>
      </c>
    </row>
    <row r="18" spans="1:7" ht="15" customHeight="1" x14ac:dyDescent="0.3">
      <c r="A18" s="10" t="s">
        <v>108</v>
      </c>
      <c r="B18" s="11">
        <f>SUMIFS(Datos!$N:$N,Datos!$D:$D,A18)</f>
        <v>20967.118000000002</v>
      </c>
      <c r="C18" s="12">
        <f>SUMIFS(Datos!$H:$H,Datos!$D:$D,A18)</f>
        <v>857</v>
      </c>
      <c r="D18" s="11">
        <f>AVERAGEIFS(Datos!$I:$I,Datos!$D:$D,A18)</f>
        <v>27.315125000000005</v>
      </c>
      <c r="E18" s="11">
        <f>SUMIFS(Datos!$P:$P,Datos!$D:$D,A18)</f>
        <v>8237.5680000000011</v>
      </c>
      <c r="F18" s="13">
        <f>IF(B18=0,0,E18/B18)</f>
        <v>0.39288031860172679</v>
      </c>
      <c r="G18" s="10" t="str">
        <f>IF(F18&gt;0.4,"Alto",IF(F18&gt;0.3,"Medio","Bajo"))</f>
        <v>Medio</v>
      </c>
    </row>
    <row r="19" spans="1:7" ht="15" customHeight="1" x14ac:dyDescent="0.3">
      <c r="A19" s="10" t="s">
        <v>80</v>
      </c>
      <c r="B19" s="11">
        <f>SUMIFS(Datos!$N:$N,Datos!$D:$D,A19)</f>
        <v>63819.22749999995</v>
      </c>
      <c r="C19" s="12">
        <f>SUMIFS(Datos!$H:$H,Datos!$D:$D,A19)</f>
        <v>319</v>
      </c>
      <c r="D19" s="11">
        <f>AVERAGEIFS(Datos!$I:$I,Datos!$D:$D,A19)</f>
        <v>219.90433962264163</v>
      </c>
      <c r="E19" s="11">
        <f>SUMIFS(Datos!$P:$P,Datos!$D:$D,A19)</f>
        <v>26854.227499999997</v>
      </c>
      <c r="F19" s="13">
        <f>IF(B19=0,0,E19/B19)</f>
        <v>0.42078584389007245</v>
      </c>
      <c r="G19" s="10" t="str">
        <f>IF(F19&gt;0.4,"Alto",IF(F19&gt;0.3,"Medio","Bajo"))</f>
        <v>Alto</v>
      </c>
    </row>
    <row r="23" spans="1:7" ht="15" customHeight="1" x14ac:dyDescent="0.3">
      <c r="A23" s="9" t="s">
        <v>633</v>
      </c>
    </row>
    <row r="24" spans="1:7" ht="15" customHeight="1" x14ac:dyDescent="0.3">
      <c r="A24" s="5" t="s">
        <v>58</v>
      </c>
      <c r="B24" s="5" t="s">
        <v>621</v>
      </c>
      <c r="C24" s="5" t="s">
        <v>622</v>
      </c>
      <c r="D24" s="5" t="s">
        <v>634</v>
      </c>
      <c r="E24" s="5" t="s">
        <v>635</v>
      </c>
      <c r="F24" s="5" t="s">
        <v>636</v>
      </c>
    </row>
    <row r="25" spans="1:7" ht="15" customHeight="1" x14ac:dyDescent="0.3">
      <c r="A25" s="10" t="s">
        <v>74</v>
      </c>
      <c r="B25" s="11">
        <f>SUMIFS(Datos!$N:$N,Datos!$F:$F,A25)</f>
        <v>173424.23499999996</v>
      </c>
      <c r="C25" s="12">
        <f>COUNTIF(Datos!$F:$F,A25)</f>
        <v>164</v>
      </c>
      <c r="D25" s="13">
        <f>IF($B$28=0,0,B25/$B$28)</f>
        <v>0.33753459933451807</v>
      </c>
      <c r="E25" s="13">
        <f>AVERAGEIFS(Datos!$Q:$Q,Datos!$F:$F,A25)</f>
        <v>0.41883259007935869</v>
      </c>
      <c r="F25" s="10" t="str">
        <f>IF(B25&gt;AVERAGE($B$25:$B$27),"↑ Arriba","↓ Abajo")</f>
        <v>↑ Arriba</v>
      </c>
    </row>
    <row r="26" spans="1:7" ht="15" customHeight="1" x14ac:dyDescent="0.3">
      <c r="A26" s="10" t="s">
        <v>82</v>
      </c>
      <c r="B26" s="11">
        <f>SUMIFS(Datos!$N:$N,Datos!$F:$F,A26)</f>
        <v>167146.68250000005</v>
      </c>
      <c r="C26" s="12">
        <f>COUNTIF(Datos!$F:$F,A26)</f>
        <v>167</v>
      </c>
      <c r="D26" s="13">
        <f>IF($B$28=0,0,B26/$B$28)</f>
        <v>0.32531663471216371</v>
      </c>
      <c r="E26" s="13">
        <f>AVERAGEIFS(Datos!$Q:$Q,Datos!$F:$F,A26)</f>
        <v>0.40859209118694845</v>
      </c>
      <c r="F26" s="10" t="str">
        <f>IF(B26&gt;AVERAGE($B$25:$B$27),"↑ Arriba","↓ Abajo")</f>
        <v>↓ Abajo</v>
      </c>
    </row>
    <row r="27" spans="1:7" ht="15" customHeight="1" x14ac:dyDescent="0.3">
      <c r="A27" s="10" t="s">
        <v>90</v>
      </c>
      <c r="B27" s="11">
        <f>SUMIFS(Datos!$N:$N,Datos!$F:$F,A27)</f>
        <v>173225.99500000005</v>
      </c>
      <c r="C27" s="12">
        <f>COUNTIF(Datos!$F:$F,A27)</f>
        <v>169</v>
      </c>
      <c r="D27" s="13">
        <f>IF($B$28=0,0,B27/$B$28)</f>
        <v>0.33714876595331827</v>
      </c>
      <c r="E27" s="13">
        <f>AVERAGEIFS(Datos!$Q:$Q,Datos!$F:$F,A27)</f>
        <v>0.41352918498634822</v>
      </c>
      <c r="F27" s="10" t="str">
        <f>IF(B27&gt;AVERAGE($B$25:$B$27),"↑ Arriba","↓ Abajo")</f>
        <v>↑ Arriba</v>
      </c>
    </row>
    <row r="28" spans="1:7" ht="15" customHeight="1" x14ac:dyDescent="0.3">
      <c r="A28" s="14" t="s">
        <v>627</v>
      </c>
      <c r="B28" s="15">
        <f>SUM(B25:B27)</f>
        <v>513796.91250000003</v>
      </c>
      <c r="C28" s="16">
        <f>SUM(C25:C27)</f>
        <v>500</v>
      </c>
      <c r="D28" s="18"/>
      <c r="E28" s="18"/>
      <c r="F28" s="18"/>
    </row>
    <row r="31" spans="1:7" ht="15" customHeight="1" x14ac:dyDescent="0.3">
      <c r="A31" s="9" t="s">
        <v>637</v>
      </c>
    </row>
    <row r="32" spans="1:7" ht="15" customHeight="1" x14ac:dyDescent="0.3">
      <c r="A32" s="5" t="s">
        <v>59</v>
      </c>
      <c r="B32" s="5" t="s">
        <v>621</v>
      </c>
      <c r="C32" s="5" t="s">
        <v>622</v>
      </c>
      <c r="D32" s="5" t="s">
        <v>624</v>
      </c>
      <c r="E32" s="5" t="s">
        <v>625</v>
      </c>
      <c r="F32" s="5" t="s">
        <v>638</v>
      </c>
    </row>
    <row r="33" spans="1:6" ht="15" customHeight="1" x14ac:dyDescent="0.3">
      <c r="A33" s="10" t="s">
        <v>110</v>
      </c>
      <c r="B33" s="11">
        <f>SUMIFS(Datos!$N:$N,Datos!$G:$G,A33)</f>
        <v>39805.8505</v>
      </c>
      <c r="C33" s="12">
        <f>COUNTIF(Datos!$G:$G,A33)</f>
        <v>35</v>
      </c>
      <c r="D33" s="11">
        <f>SUMIFS(Datos!$P:$P,Datos!$G:$G,A33)</f>
        <v>14682.5905</v>
      </c>
      <c r="E33" s="13">
        <f t="shared" ref="E33:E42" si="2">IF(B33=0,0,D33/B33)</f>
        <v>0.36885508827402141</v>
      </c>
      <c r="F33" s="10" t="str">
        <f t="shared" ref="F33:F42" si="3">IF(AND(B33&gt;AVERAGE($B$33:$B$42),E33&gt;AVERAGE($E$33:$E$42)),"★★★ Excelente",IF(OR(B33&gt;AVERAGE($B$33:$B$42),E33&gt;AVERAGE($E$33:$E$42)),"★★ Bueno","★ Regular"))</f>
        <v>★ Regular</v>
      </c>
    </row>
    <row r="34" spans="1:6" ht="15" customHeight="1" x14ac:dyDescent="0.3">
      <c r="A34" s="10" t="s">
        <v>94</v>
      </c>
      <c r="B34" s="11">
        <f>SUMIFS(Datos!$N:$N,Datos!$G:$G,A34)</f>
        <v>58867.333999999995</v>
      </c>
      <c r="C34" s="12">
        <f>COUNTIF(Datos!$G:$G,A34)</f>
        <v>54</v>
      </c>
      <c r="D34" s="11">
        <f>SUMIFS(Datos!$P:$P,Datos!$G:$G,A34)</f>
        <v>24504.673999999992</v>
      </c>
      <c r="E34" s="13">
        <f t="shared" si="2"/>
        <v>0.41626947128266406</v>
      </c>
      <c r="F34" s="10" t="str">
        <f t="shared" si="3"/>
        <v>★★ Bueno</v>
      </c>
    </row>
    <row r="35" spans="1:6" ht="15" customHeight="1" x14ac:dyDescent="0.3">
      <c r="A35" s="10" t="s">
        <v>106</v>
      </c>
      <c r="B35" s="11">
        <f>SUMIFS(Datos!$N:$N,Datos!$G:$G,A35)</f>
        <v>47082.676999999989</v>
      </c>
      <c r="C35" s="12">
        <f>COUNTIF(Datos!$G:$G,A35)</f>
        <v>47</v>
      </c>
      <c r="D35" s="11">
        <f>SUMIFS(Datos!$P:$P,Datos!$G:$G,A35)</f>
        <v>19899.027000000002</v>
      </c>
      <c r="E35" s="13">
        <f t="shared" si="2"/>
        <v>0.42264009329800867</v>
      </c>
      <c r="F35" s="10" t="str">
        <f t="shared" si="3"/>
        <v>★★ Bueno</v>
      </c>
    </row>
    <row r="36" spans="1:6" ht="15" customHeight="1" x14ac:dyDescent="0.3">
      <c r="A36" s="10" t="s">
        <v>75</v>
      </c>
      <c r="B36" s="11">
        <f>SUMIFS(Datos!$N:$N,Datos!$G:$G,A36)</f>
        <v>63466.126499999991</v>
      </c>
      <c r="C36" s="12">
        <f>COUNTIF(Datos!$G:$G,A36)</f>
        <v>54</v>
      </c>
      <c r="D36" s="11">
        <f>SUMIFS(Datos!$P:$P,Datos!$G:$G,A36)</f>
        <v>27511.4565</v>
      </c>
      <c r="E36" s="13">
        <f t="shared" si="2"/>
        <v>0.43348252079004701</v>
      </c>
      <c r="F36" s="10" t="str">
        <f t="shared" si="3"/>
        <v>★★★ Excelente</v>
      </c>
    </row>
    <row r="37" spans="1:6" ht="15" customHeight="1" x14ac:dyDescent="0.3">
      <c r="A37" s="10" t="s">
        <v>142</v>
      </c>
      <c r="B37" s="11">
        <f>SUMIFS(Datos!$N:$N,Datos!$G:$G,A37)</f>
        <v>63035.71699999999</v>
      </c>
      <c r="C37" s="12">
        <f>COUNTIF(Datos!$G:$G,A37)</f>
        <v>46</v>
      </c>
      <c r="D37" s="11">
        <f>SUMIFS(Datos!$P:$P,Datos!$G:$G,A37)</f>
        <v>28776.007000000005</v>
      </c>
      <c r="E37" s="13">
        <f t="shared" si="2"/>
        <v>0.45650320753867224</v>
      </c>
      <c r="F37" s="10" t="str">
        <f t="shared" si="3"/>
        <v>★★★ Excelente</v>
      </c>
    </row>
    <row r="38" spans="1:6" ht="15" customHeight="1" x14ac:dyDescent="0.3">
      <c r="A38" s="10" t="s">
        <v>87</v>
      </c>
      <c r="B38" s="11">
        <f>SUMIFS(Datos!$N:$N,Datos!$G:$G,A38)</f>
        <v>60917.868499999975</v>
      </c>
      <c r="C38" s="12">
        <f>COUNTIF(Datos!$G:$G,A38)</f>
        <v>59</v>
      </c>
      <c r="D38" s="11">
        <f>SUMIFS(Datos!$P:$P,Datos!$G:$G,A38)</f>
        <v>26498.188500000018</v>
      </c>
      <c r="E38" s="13">
        <f t="shared" si="2"/>
        <v>0.43498220066580351</v>
      </c>
      <c r="F38" s="10" t="str">
        <f t="shared" si="3"/>
        <v>★★★ Excelente</v>
      </c>
    </row>
    <row r="39" spans="1:6" ht="15" customHeight="1" x14ac:dyDescent="0.3">
      <c r="A39" s="10" t="s">
        <v>135</v>
      </c>
      <c r="B39" s="11">
        <f>SUMIFS(Datos!$N:$N,Datos!$G:$G,A39)</f>
        <v>54764.675999999992</v>
      </c>
      <c r="C39" s="12">
        <f>COUNTIF(Datos!$G:$G,A39)</f>
        <v>58</v>
      </c>
      <c r="D39" s="11">
        <f>SUMIFS(Datos!$P:$P,Datos!$G:$G,A39)</f>
        <v>22877.795999999998</v>
      </c>
      <c r="E39" s="13">
        <f t="shared" si="2"/>
        <v>0.4177473085022908</v>
      </c>
      <c r="F39" s="10" t="str">
        <f t="shared" si="3"/>
        <v>★★ Bueno</v>
      </c>
    </row>
    <row r="40" spans="1:6" ht="15" customHeight="1" x14ac:dyDescent="0.3">
      <c r="A40" s="10" t="s">
        <v>91</v>
      </c>
      <c r="B40" s="11">
        <f>SUMIFS(Datos!$N:$N,Datos!$G:$G,A40)</f>
        <v>51424.497500000012</v>
      </c>
      <c r="C40" s="12">
        <f>COUNTIF(Datos!$G:$G,A40)</f>
        <v>64</v>
      </c>
      <c r="D40" s="11">
        <f>SUMIFS(Datos!$P:$P,Datos!$G:$G,A40)</f>
        <v>22410.157500000005</v>
      </c>
      <c r="E40" s="13">
        <f t="shared" si="2"/>
        <v>0.43578758353448177</v>
      </c>
      <c r="F40" s="10" t="str">
        <f t="shared" si="3"/>
        <v>★★★ Excelente</v>
      </c>
    </row>
    <row r="41" spans="1:6" ht="15" customHeight="1" x14ac:dyDescent="0.3">
      <c r="A41" s="10" t="s">
        <v>114</v>
      </c>
      <c r="B41" s="11">
        <f>SUMIFS(Datos!$N:$N,Datos!$G:$G,A41)</f>
        <v>38712.342000000011</v>
      </c>
      <c r="C41" s="12">
        <f>COUNTIF(Datos!$G:$G,A41)</f>
        <v>41</v>
      </c>
      <c r="D41" s="11">
        <f>SUMIFS(Datos!$P:$P,Datos!$G:$G,A41)</f>
        <v>15360.931999999997</v>
      </c>
      <c r="E41" s="13">
        <f t="shared" si="2"/>
        <v>0.39679676316147428</v>
      </c>
      <c r="F41" s="10" t="str">
        <f t="shared" si="3"/>
        <v>★ Regular</v>
      </c>
    </row>
    <row r="42" spans="1:6" ht="15" customHeight="1" x14ac:dyDescent="0.3">
      <c r="A42" s="10" t="s">
        <v>83</v>
      </c>
      <c r="B42" s="11">
        <f>SUMIFS(Datos!$N:$N,Datos!$G:$G,A42)</f>
        <v>35719.823499999999</v>
      </c>
      <c r="C42" s="12">
        <f>COUNTIF(Datos!$G:$G,A42)</f>
        <v>42</v>
      </c>
      <c r="D42" s="11">
        <f>SUMIFS(Datos!$P:$P,Datos!$G:$G,A42)</f>
        <v>15558.3135</v>
      </c>
      <c r="E42" s="13">
        <f t="shared" si="2"/>
        <v>0.4355652401249967</v>
      </c>
      <c r="F42" s="10" t="str">
        <f t="shared" si="3"/>
        <v>★★ Bueno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tabSelected="1" zoomScaleNormal="100" workbookViewId="0">
      <selection activeCell="I7" sqref="I7"/>
    </sheetView>
  </sheetViews>
  <sheetFormatPr defaultColWidth="8.6640625" defaultRowHeight="14.4" x14ac:dyDescent="0.3"/>
  <cols>
    <col min="1" max="1" width="21.5546875" customWidth="1"/>
    <col min="2" max="2" width="15" customWidth="1"/>
    <col min="3" max="3" width="20.33203125" customWidth="1"/>
    <col min="4" max="4" width="15" customWidth="1"/>
    <col min="5" max="5" width="17.21875" bestFit="1" customWidth="1"/>
    <col min="6" max="6" width="15" customWidth="1"/>
    <col min="7" max="7" width="16.6640625" bestFit="1" customWidth="1"/>
    <col min="8" max="8" width="15" customWidth="1"/>
    <col min="9" max="9" width="20" bestFit="1" customWidth="1"/>
    <col min="10" max="10" width="15" customWidth="1"/>
  </cols>
  <sheetData>
    <row r="1" spans="1:10" ht="21.75" customHeight="1" x14ac:dyDescent="0.4">
      <c r="A1" s="1" t="s">
        <v>639</v>
      </c>
      <c r="B1" s="1"/>
      <c r="C1" s="1"/>
      <c r="D1" s="1"/>
      <c r="E1" s="1"/>
      <c r="F1" s="1"/>
      <c r="G1" s="1"/>
      <c r="H1" s="1"/>
      <c r="I1" s="1"/>
      <c r="J1" s="1"/>
    </row>
    <row r="3" spans="1:10" ht="15" customHeight="1" x14ac:dyDescent="0.3">
      <c r="A3" s="9" t="s">
        <v>640</v>
      </c>
    </row>
    <row r="4" spans="1:10" ht="15" customHeight="1" x14ac:dyDescent="0.3">
      <c r="A4" s="19" t="s">
        <v>621</v>
      </c>
      <c r="C4" s="19" t="s">
        <v>624</v>
      </c>
      <c r="E4" s="19" t="s">
        <v>641</v>
      </c>
      <c r="G4" s="19" t="s">
        <v>623</v>
      </c>
      <c r="I4" s="19" t="s">
        <v>642</v>
      </c>
    </row>
    <row r="5" spans="1:10" ht="17.25" customHeight="1" x14ac:dyDescent="0.3">
      <c r="A5" s="20">
        <f>SUM(Datos!N:N)</f>
        <v>513796.91250000021</v>
      </c>
      <c r="C5" s="20">
        <f>SUM(Datos!P:P)</f>
        <v>218079.14249999999</v>
      </c>
      <c r="E5" s="21">
        <f>IF(A5=0,0,C5/A5)</f>
        <v>0.42444619108138354</v>
      </c>
      <c r="G5" s="20">
        <f>IF(I5=0,0,A5/I5)</f>
        <v>1027.5938250000004</v>
      </c>
      <c r="I5" s="22">
        <f>COUNTA(Datos!A:A)-1</f>
        <v>500</v>
      </c>
    </row>
    <row r="8" spans="1:10" ht="15" customHeight="1" x14ac:dyDescent="0.3">
      <c r="A8" s="9" t="s">
        <v>643</v>
      </c>
      <c r="D8" s="9" t="s">
        <v>644</v>
      </c>
      <c r="H8" s="9" t="s">
        <v>645</v>
      </c>
    </row>
    <row r="9" spans="1:10" ht="15" customHeight="1" x14ac:dyDescent="0.3">
      <c r="A9" t="s">
        <v>646</v>
      </c>
      <c r="B9" s="23" t="s">
        <v>649</v>
      </c>
      <c r="D9" s="24" t="s">
        <v>620</v>
      </c>
      <c r="E9" s="24" t="s">
        <v>647</v>
      </c>
      <c r="F9" s="24" t="s">
        <v>68</v>
      </c>
      <c r="H9" s="24" t="s">
        <v>629</v>
      </c>
      <c r="I9" s="24" t="s">
        <v>647</v>
      </c>
    </row>
    <row r="10" spans="1:10" ht="15" customHeight="1" x14ac:dyDescent="0.3">
      <c r="A10" t="s">
        <v>648</v>
      </c>
      <c r="B10" s="23" t="s">
        <v>649</v>
      </c>
      <c r="D10" s="10" t="s">
        <v>77</v>
      </c>
      <c r="E10" s="11">
        <f>SUMIFS(Datos!$N:$N,Datos!$C:$C,D10)</f>
        <v>100578.20600000001</v>
      </c>
      <c r="F10" s="11">
        <f>SUMIFS(Datos!$P:$P,Datos!$C:$C,D10)</f>
        <v>42868.976000000002</v>
      </c>
      <c r="H10" s="10" t="s">
        <v>72</v>
      </c>
      <c r="I10" s="11">
        <f>SUMIFS(Datos!$N:$N,Datos!$D:$D,H10)</f>
        <v>275932.21150000003</v>
      </c>
    </row>
    <row r="11" spans="1:10" ht="15" customHeight="1" x14ac:dyDescent="0.3">
      <c r="A11" t="s">
        <v>650</v>
      </c>
      <c r="B11" s="23" t="s">
        <v>651</v>
      </c>
      <c r="D11" s="10" t="s">
        <v>79</v>
      </c>
      <c r="E11" s="11">
        <f>SUMIFS(Datos!$N:$N,Datos!$C:$C,D11)</f>
        <v>97422.203499999989</v>
      </c>
      <c r="F11" s="11">
        <f>SUMIFS(Datos!$P:$P,Datos!$C:$C,D11)</f>
        <v>41177.833500000015</v>
      </c>
      <c r="H11" s="10" t="s">
        <v>117</v>
      </c>
      <c r="I11" s="11">
        <f>SUMIFS(Datos!$N:$N,Datos!$D:$D,H11)</f>
        <v>40405.117999999988</v>
      </c>
    </row>
    <row r="12" spans="1:10" ht="15" customHeight="1" x14ac:dyDescent="0.3">
      <c r="D12" s="10" t="s">
        <v>71</v>
      </c>
      <c r="E12" s="11">
        <f>SUMIFS(Datos!$N:$N,Datos!$C:$C,D12)</f>
        <v>117794.12500000003</v>
      </c>
      <c r="F12" s="11">
        <f>SUMIFS(Datos!$P:$P,Datos!$C:$C,D12)</f>
        <v>50996.024999999994</v>
      </c>
      <c r="H12" s="10" t="s">
        <v>85</v>
      </c>
      <c r="I12" s="11">
        <f>SUMIFS(Datos!$N:$N,Datos!$D:$D,H12)</f>
        <v>112673.2375</v>
      </c>
    </row>
    <row r="13" spans="1:10" ht="15" customHeight="1" x14ac:dyDescent="0.3">
      <c r="A13" s="9" t="s">
        <v>652</v>
      </c>
      <c r="D13" s="10" t="s">
        <v>102</v>
      </c>
      <c r="E13" s="11">
        <f>SUMIFS(Datos!$N:$N,Datos!$C:$C,D13)</f>
        <v>96230.390499999921</v>
      </c>
      <c r="F13" s="11">
        <f>SUMIFS(Datos!$P:$P,Datos!$C:$C,D13)</f>
        <v>40433.710499999994</v>
      </c>
      <c r="H13" s="10" t="s">
        <v>108</v>
      </c>
      <c r="I13" s="11">
        <f>SUMIFS(Datos!$N:$N,Datos!$D:$D,H13)</f>
        <v>20967.118000000002</v>
      </c>
    </row>
    <row r="14" spans="1:10" ht="15" customHeight="1" x14ac:dyDescent="0.3">
      <c r="A14" s="24" t="s">
        <v>653</v>
      </c>
      <c r="B14" s="24" t="s">
        <v>654</v>
      </c>
      <c r="D14" s="10" t="s">
        <v>93</v>
      </c>
      <c r="E14" s="11">
        <f>SUMIFS(Datos!$N:$N,Datos!$C:$C,D14)</f>
        <v>101771.98749999996</v>
      </c>
      <c r="F14" s="11">
        <f>SUMIFS(Datos!$P:$P,Datos!$C:$C,D14)</f>
        <v>42602.597499999989</v>
      </c>
      <c r="H14" s="10" t="s">
        <v>80</v>
      </c>
      <c r="I14" s="11">
        <f>SUMIFS(Datos!$N:$N,Datos!$D:$D,H14)</f>
        <v>63819.22749999995</v>
      </c>
    </row>
    <row r="15" spans="1:10" ht="15" customHeight="1" x14ac:dyDescent="0.3">
      <c r="A15" s="10" t="s">
        <v>655</v>
      </c>
      <c r="B15" s="11">
        <f>SUMPRODUCT((Datos!$N$2:$N$501)*((Datos!$C$2:$C$501=$B$9)+($B$9="Todas"))*((Datos!$D$2:$D$501=$B$10)+($B$10="Todas"))*((Datos!$F$2:$F$501=$B$11)+($B$11="Todos")))</f>
        <v>513796.91250000021</v>
      </c>
    </row>
    <row r="16" spans="1:10" ht="15" customHeight="1" x14ac:dyDescent="0.3">
      <c r="A16" s="10" t="s">
        <v>622</v>
      </c>
      <c r="B16" s="12">
        <f>SUMPRODUCT(((Datos!$C$2:$C$501=$B$9)+($B$9="Todas"))*((Datos!$D$2:$D$501=$B$10)+($B$10="Todas"))*((Datos!$F$2:$F$501=$B$11)+($B$11="Todos")))</f>
        <v>500</v>
      </c>
    </row>
    <row r="17" spans="1:2" ht="15" customHeight="1" x14ac:dyDescent="0.3">
      <c r="A17" s="10" t="s">
        <v>656</v>
      </c>
      <c r="B17" s="11">
        <f>SUMPRODUCT((Datos!$P$2:$P$501)*((Datos!$C$2:$C$501=$B$9)+($B$9="Todas"))*((Datos!$D$2:$D$501=$B$10)+($B$10="Todas"))*((Datos!$F$2:$F$501=$B$11)+($B$11="Todos")))</f>
        <v>218079.14249999999</v>
      </c>
    </row>
    <row r="18" spans="1:2" ht="15" customHeight="1" x14ac:dyDescent="0.3">
      <c r="A18" s="10" t="s">
        <v>634</v>
      </c>
      <c r="B18" s="13">
        <f>IF(OR(B15=0,A5=0),0,B15/A5)</f>
        <v>1</v>
      </c>
    </row>
    <row r="22" spans="1:2" ht="15" customHeight="1" x14ac:dyDescent="0.3">
      <c r="A22" s="9" t="s">
        <v>657</v>
      </c>
    </row>
    <row r="23" spans="1:2" ht="15" customHeight="1" x14ac:dyDescent="0.3">
      <c r="A23" s="24" t="s">
        <v>658</v>
      </c>
      <c r="B23" s="24" t="s">
        <v>647</v>
      </c>
    </row>
    <row r="24" spans="1:2" ht="15" customHeight="1" x14ac:dyDescent="0.3">
      <c r="A24" s="10" t="s">
        <v>659</v>
      </c>
      <c r="B24" s="11">
        <f>SUMIFS(Datos!$N:$N,Datos!$B:$B,"&gt;="&amp;DATE(2024,1,1),Datos!$B:$B,"&lt;"&amp;DATE(2024,2,1))</f>
        <v>40246.023999999983</v>
      </c>
    </row>
    <row r="25" spans="1:2" ht="15" customHeight="1" x14ac:dyDescent="0.3">
      <c r="A25" s="10" t="s">
        <v>660</v>
      </c>
      <c r="B25" s="11">
        <f>SUMIFS(Datos!$N:$N,Datos!$B:$B,"&gt;="&amp;DATE(2024,2,1),Datos!$B:$B,"&lt;"&amp;DATE(2024,3,1))</f>
        <v>49201.894499999995</v>
      </c>
    </row>
    <row r="26" spans="1:2" ht="15" customHeight="1" x14ac:dyDescent="0.3">
      <c r="A26" s="10" t="s">
        <v>661</v>
      </c>
      <c r="B26" s="11">
        <f>SUMIFS(Datos!$N:$N,Datos!$B:$B,"&gt;="&amp;DATE(2024,3,1),Datos!$B:$B,"&lt;"&amp;DATE(2024,4,1))</f>
        <v>47641.333499999993</v>
      </c>
    </row>
    <row r="27" spans="1:2" ht="15" customHeight="1" x14ac:dyDescent="0.3">
      <c r="A27" s="10" t="s">
        <v>662</v>
      </c>
      <c r="B27" s="11">
        <f>SUMIFS(Datos!$N:$N,Datos!$B:$B,"&gt;="&amp;DATE(2024,4,1),Datos!$B:$B,"&lt;"&amp;DATE(2024,5,1))</f>
        <v>56960.09350000001</v>
      </c>
    </row>
    <row r="28" spans="1:2" ht="15" customHeight="1" x14ac:dyDescent="0.3">
      <c r="A28" s="10" t="s">
        <v>663</v>
      </c>
      <c r="B28" s="11">
        <f>SUMIFS(Datos!$N:$N,Datos!$B:$B,"&gt;="&amp;DATE(2024,5,1),Datos!$B:$B,"&lt;"&amp;DATE(2024,6,1))</f>
        <v>30830.305499999999</v>
      </c>
    </row>
    <row r="29" spans="1:2" ht="15" customHeight="1" x14ac:dyDescent="0.3">
      <c r="A29" s="10" t="s">
        <v>664</v>
      </c>
      <c r="B29" s="11">
        <f>SUMIFS(Datos!$N:$N,Datos!$B:$B,"&gt;="&amp;DATE(2024,6,1),Datos!$B:$B,"&lt;"&amp;DATE(2024,7,1))</f>
        <v>43807.235000000001</v>
      </c>
    </row>
    <row r="30" spans="1:2" ht="15" customHeight="1" x14ac:dyDescent="0.3">
      <c r="A30" s="10" t="s">
        <v>665</v>
      </c>
      <c r="B30" s="11">
        <f>SUMIFS(Datos!$N:$N,Datos!$B:$B,"&gt;="&amp;DATE(2024,7,1),Datos!$B:$B,"&lt;"&amp;DATE(2024,8,1))</f>
        <v>50082.689000000006</v>
      </c>
    </row>
    <row r="31" spans="1:2" ht="15" customHeight="1" x14ac:dyDescent="0.3">
      <c r="A31" s="10" t="s">
        <v>666</v>
      </c>
      <c r="B31" s="11">
        <f>SUMIFS(Datos!$N:$N,Datos!$B:$B,"&gt;="&amp;DATE(2024,8,1),Datos!$B:$B,"&lt;"&amp;DATE(2024,9,1))</f>
        <v>37618.041499999992</v>
      </c>
    </row>
    <row r="32" spans="1:2" ht="15" customHeight="1" x14ac:dyDescent="0.3">
      <c r="A32" s="10" t="s">
        <v>667</v>
      </c>
      <c r="B32" s="11">
        <f>SUMIFS(Datos!$N:$N,Datos!$B:$B,"&gt;="&amp;DATE(2024,9,1),Datos!$B:$B,"&lt;"&amp;DATE(2024,10,1))</f>
        <v>34991.820499999994</v>
      </c>
    </row>
    <row r="33" spans="1:9" ht="15" customHeight="1" x14ac:dyDescent="0.3">
      <c r="A33" s="10" t="s">
        <v>668</v>
      </c>
      <c r="B33" s="11">
        <f>SUMIFS(Datos!$N:$N,Datos!$B:$B,"&gt;="&amp;DATE(2024,10,1),Datos!$B:$B,"&lt;"&amp;DATE(2024,11,1))</f>
        <v>53360.238999999994</v>
      </c>
    </row>
    <row r="34" spans="1:9" ht="15" customHeight="1" x14ac:dyDescent="0.3">
      <c r="A34" s="10" t="s">
        <v>669</v>
      </c>
      <c r="B34" s="11">
        <f>SUMIFS(Datos!$N:$N,Datos!$B:$B,"&gt;="&amp;DATE(2024,11,1),Datos!$B:$B,"&lt;"&amp;DATE(2024,12,1))</f>
        <v>34662.537499999999</v>
      </c>
    </row>
    <row r="35" spans="1:9" ht="15" customHeight="1" x14ac:dyDescent="0.3">
      <c r="A35" s="10" t="s">
        <v>670</v>
      </c>
      <c r="B35" s="11">
        <f>SUMIFS(Datos!$N:$N,Datos!$B:$B,"&gt;="&amp;DATE(2024,12,1),Datos!$B:$B,"&lt;"&amp;DATE(2024,13,1))</f>
        <v>34394.699000000008</v>
      </c>
    </row>
    <row r="37" spans="1:9" ht="15" customHeight="1" x14ac:dyDescent="0.3">
      <c r="H37" s="9" t="s">
        <v>671</v>
      </c>
    </row>
    <row r="38" spans="1:9" ht="15" customHeight="1" x14ac:dyDescent="0.3">
      <c r="H38" s="25" t="s">
        <v>672</v>
      </c>
      <c r="I38" t="str">
        <f>INDEX(Análisis!A5:A9,MATCH(MAX(Análisis!B5:B9),Análisis!B5:B9,0))</f>
        <v>Centro</v>
      </c>
    </row>
    <row r="39" spans="1:9" ht="15" customHeight="1" x14ac:dyDescent="0.3">
      <c r="H39" s="25" t="s">
        <v>673</v>
      </c>
      <c r="I39" t="str">
        <f>INDEX(Análisis!A15:A19,MATCH(MAX(Análisis!B15:B19),Análisis!B15:B19,0))</f>
        <v>Electrónica</v>
      </c>
    </row>
    <row r="40" spans="1:9" ht="15" customHeight="1" x14ac:dyDescent="0.3">
      <c r="H40" s="25" t="s">
        <v>674</v>
      </c>
      <c r="I40" t="str">
        <f>INDEX(Análisis!A25:A27,MATCH(MAX(Análisis!B25:B27),Análisis!B25:B27,0))</f>
        <v>Tienda Física</v>
      </c>
    </row>
    <row r="41" spans="1:9" ht="15" customHeight="1" x14ac:dyDescent="0.3">
      <c r="H41" s="25" t="s">
        <v>675</v>
      </c>
      <c r="I41" t="str">
        <f>INDEX(Análisis!A33:A42,MATCH(MAX(Análisis!B33:B42),Análisis!B33:B42,0))</f>
        <v>Juan Martínez</v>
      </c>
    </row>
  </sheetData>
  <mergeCells count="1">
    <mergeCell ref="A1:J1"/>
  </mergeCells>
  <dataValidations count="3">
    <dataValidation type="list" sqref="B9" xr:uid="{00000000-0002-0000-0300-000000000000}">
      <formula1>"Todas,Norte,Sur,Centro,Este,Oeste"</formula1>
      <formula2>0</formula2>
    </dataValidation>
    <dataValidation type="list" sqref="B10" xr:uid="{00000000-0002-0000-0300-000001000000}">
      <formula1>"Todas,Electrónica,Ropa,Hogar,Alimentos,Deportes"</formula1>
      <formula2>0</formula2>
    </dataValidation>
    <dataValidation type="list" sqref="B11" xr:uid="{00000000-0002-0000-0300-000002000000}">
      <formula1>"Todos,Tienda Física,E-commerce,Marketplace"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Documentación</vt:lpstr>
      <vt:lpstr>Datos</vt:lpstr>
      <vt:lpstr>Análisis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EDWIN CARBAJAL ESTRADA</cp:lastModifiedBy>
  <cp:revision>3</cp:revision>
  <dcterms:created xsi:type="dcterms:W3CDTF">2026-01-16T21:01:09Z</dcterms:created>
  <dcterms:modified xsi:type="dcterms:W3CDTF">2026-01-16T21:23:51Z</dcterms:modified>
  <dc:language>en-US</dc:language>
</cp:coreProperties>
</file>